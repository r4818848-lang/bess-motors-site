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91363feac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dda40d5a8e04da9"/>
    <x:sheet xmlns:r="http://schemas.openxmlformats.org/officeDocument/2006/relationships" name="Все позиции" sheetId="2" r:id="R4a18946968de4c56"/>
    <x:sheet xmlns:r="http://schemas.openxmlformats.org/officeDocument/2006/relationships" name="Запчасти" sheetId="3" r:id="R0f88fd94c88746e3"/>
    <x:sheet xmlns:r="http://schemas.openxmlformats.org/officeDocument/2006/relationships" name="Расходники" sheetId="4" r:id="R9aa3226694b540c7"/>
    <x:sheet xmlns:r="http://schemas.openxmlformats.org/officeDocument/2006/relationships" name="Документы" sheetId="5" r:id="R90322108427d4e23"/>
    <x:sheet xmlns:r="http://schemas.openxmlformats.org/officeDocument/2006/relationships" name="Дубликаты" sheetId="6" r:id="R6de52ec47eaf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;[Red](#,##0);-"/>
    <x:numFmt numFmtId="203" formatCode="#,##0.00;[Red](#,##0.00);-"/>
    <x:numFmt numFmtId="204" formatCode="0%;[Red](0%);-"/>
  </x:numFmts>
  <x:fonts count="15">
    <x:font>
      <x:sz val="11"/>
      <x:name val="Carlito"/>
    </x:font>
    <x:font>
      <x:b/>
      <x:sz val="11"/>
      <x:color rgb="FFFFFFFF"/>
      <x:name val="Carlito"/>
    </x:font>
    <x:font>
      <x:sz val="11"/>
      <x:color rgb="FFB45309"/>
      <x:name val="Carlito"/>
    </x:font>
    <x:font>
      <x:b/>
      <x:sz val="17"/>
      <x:color rgb="FFFFFFFF"/>
      <x:name val="Carlito"/>
    </x:font>
    <x:font>
      <x:i/>
      <x:sz val="11"/>
      <x:color rgb="FFB45309"/>
      <x:name val="Carlito"/>
    </x:font>
    <x:font>
      <x:b/>
      <x:sz val="11"/>
      <x:color rgb="FFB45309"/>
      <x:name val="Carlito"/>
    </x:font>
    <x:font>
      <x:b/>
      <x:sz val="18"/>
      <x:color rgb="FFFFFFFF"/>
      <x:name val="Carlito"/>
    </x:font>
    <x:font>
      <x:i/>
      <x:sz val="11"/>
      <x:color rgb="FF5F6B76"/>
      <x:name val="Carlito"/>
    </x:font>
    <x:font>
      <x:b/>
      <x:sz val="11"/>
      <x:color rgb="FF2563EB"/>
      <x:name val="Carlito"/>
    </x:font>
    <x:font>
      <x:b/>
      <x:sz val="17"/>
      <x:color rgb="FF2563EB"/>
      <x:name val="Carlito"/>
    </x:font>
    <x:font>
      <x:b/>
      <x:sz val="17"/>
      <x:color rgb="FFB45309"/>
      <x:name val="Carlito"/>
    </x:font>
    <x:font>
      <x:b/>
      <x:sz val="11"/>
      <x:color rgb="FF11875D"/>
      <x:name val="Carlito"/>
    </x:font>
    <x:font>
      <x:b/>
      <x:sz val="17"/>
      <x:color rgb="FF11875D"/>
      <x:name val="Carlito"/>
    </x:font>
    <x:font>
      <x:b/>
      <x:sz val="11"/>
      <x:color rgb="FF27394B"/>
      <x:name val="Carlito"/>
    </x:font>
    <x:font>
      <x:sz val="9"/>
      <x:color rgb="FF5F6B7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7394B"/>
      </x:patternFill>
    </x:fill>
    <x:fill>
      <x:patternFill patternType="solid">
        <x:fgColor rgb="FFFFF4D6"/>
      </x:patternFill>
    </x:fill>
    <x:fill>
      <x:patternFill patternType="solid">
        <x:fgColor rgb="FFF3F5F7"/>
      </x:patternFill>
    </x:fill>
    <x:fill>
      <x:patternFill patternType="solid">
        <x:fgColor rgb="FFEAF2FF"/>
      </x:patternFill>
    </x:fill>
    <x:fill>
      <x:patternFill patternType="solid">
        <x:fgColor rgb="FFE7F6EF"/>
      </x:patternFill>
    </x:fill>
  </x:fills>
  <x:borders count="33">
    <x:border/>
    <x:border>
      <x:left style="thin">
        <x:color rgb="FF27394B"/>
      </x:left>
      <x:top style="thin">
        <x:color rgb="FF27394B"/>
      </x:top>
      <x:bottom style="thin">
        <x:color rgb="FF27394B"/>
      </x:bottom>
    </x:border>
    <x:border>
      <x:top style="thin">
        <x:color rgb="FF27394B"/>
      </x:top>
      <x:bottom style="thin">
        <x:color rgb="FF27394B"/>
      </x:bottom>
    </x:border>
    <x:border>
      <x:right style="thin">
        <x:color rgb="FF27394B"/>
      </x:right>
      <x:top style="thin">
        <x:color rgb="FF27394B"/>
      </x:top>
      <x:bottom style="thin">
        <x:color rgb="FF27394B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bottom style="double">
        <x:color rgb="FFB45309"/>
      </x:bottom>
    </x:border>
    <x:border>
      <x:right style="thin">
        <x:color rgb="FFD7DEE5"/>
      </x:right>
      <x:top style="thin">
        <x:color rgb="FFD7DEE5"/>
      </x:top>
      <x:bottom style="double">
        <x:color rgb="FF11875D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double">
        <x:color rgb="FF11875D"/>
      </x:bottom>
    </x:border>
    <x:border>
      <x:top style="thin">
        <x:color rgb="FFD7DEE5"/>
      </x:top>
      <x:bottom style="thin">
        <x:color rgb="FFD7DEE5"/>
      </x:bottom>
    </x:border>
    <x:border>
      <x:left style="thin">
        <x:color rgb="FF11875D"/>
      </x:left>
      <x:top style="thin">
        <x:color rgb="FF11875D"/>
      </x:top>
    </x:border>
    <x:border>
      <x:top style="thin">
        <x:color rgb="FF11875D"/>
      </x:top>
    </x:border>
    <x:border>
      <x:right style="thin">
        <x:color rgb="FF11875D"/>
      </x:right>
      <x:top style="thin">
        <x:color rgb="FF11875D"/>
      </x:top>
    </x:border>
    <x:border>
      <x:left style="thin">
        <x:color rgb="FF11875D"/>
      </x:left>
    </x:border>
    <x:border>
      <x:right style="thin">
        <x:color rgb="FF11875D"/>
      </x:right>
    </x:border>
    <x:border>
      <x:left style="thin">
        <x:color rgb="FF11875D"/>
      </x:left>
      <x:bottom style="thin">
        <x:color rgb="FF11875D"/>
      </x:bottom>
    </x:border>
    <x:border>
      <x:bottom style="thin">
        <x:color rgb="FF11875D"/>
      </x:bottom>
    </x:border>
    <x:border>
      <x:right style="thin">
        <x:color rgb="FF11875D"/>
      </x:right>
      <x:bottom style="thin">
        <x:color rgb="FF11875D"/>
      </x:bottom>
    </x:border>
    <x:border>
      <x:left style="thin">
        <x:color rgb="FFF1C76D"/>
      </x:left>
      <x:top style="thin">
        <x:color rgb="FFF1C76D"/>
      </x:top>
    </x:border>
    <x:border>
      <x:top style="thin">
        <x:color rgb="FFF1C76D"/>
      </x:top>
    </x:border>
    <x:border>
      <x:right style="thin">
        <x:color rgb="FFF1C76D"/>
      </x:right>
      <x:top style="thin">
        <x:color rgb="FFF1C76D"/>
      </x:top>
    </x:border>
    <x:border>
      <x:left style="thin">
        <x:color rgb="FFF1C76D"/>
      </x:left>
    </x:border>
    <x:border>
      <x:right style="thin">
        <x:color rgb="FFF1C76D"/>
      </x:right>
    </x:border>
    <x:border>
      <x:left style="thin">
        <x:color rgb="FFF1C76D"/>
      </x:left>
      <x:bottom style="thin">
        <x:color rgb="FFF1C76D"/>
      </x:bottom>
    </x:border>
    <x:border>
      <x:bottom style="thin">
        <x:color rgb="FFF1C76D"/>
      </x:bottom>
    </x:border>
    <x:border>
      <x:right style="thin">
        <x:color rgb="FFF1C76D"/>
      </x:right>
      <x:bottom style="thin">
        <x:color rgb="FFF1C76D"/>
      </x:bottom>
    </x:border>
  </x:borders>
  <x:cellStyleXfs count="1">
    <x:xf numFmtId="0" fontId="0" fillId="0" borderId="0"/>
  </x:cellStyleXfs>
  <x:cellXfs count="2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5" fillId="3" borderId="0" xfId="0" applyNumberFormat="1" applyFont="1" applyFill="1" applyBorder="1"/>
    <x:xf numFmtId="0" fontId="5" fillId="3" borderId="13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5" fillId="3" borderId="13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7" xfId="0" applyNumberFormat="1" applyFont="1" applyFill="1" applyBorder="1"/>
    <x:xf numFmtId="0" fontId="8" fillId="5" borderId="9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12" xfId="0" applyNumberFormat="1" applyFont="1" applyFill="1" applyBorder="1"/>
    <x:xf numFmtId="0" fontId="9" fillId="5" borderId="10" xfId="0" applyNumberFormat="1" applyFont="1" applyFill="1" applyBorder="1"/>
    <x:xf numFmtId="0" fontId="9" fillId="5" borderId="6" xfId="0" applyNumberFormat="1" applyFont="1" applyFill="1" applyBorder="1"/>
    <x:xf numFmtId="0" fontId="9" fillId="5" borderId="4" xfId="0" applyNumberFormat="1" applyFont="1" applyFill="1" applyBorder="1"/>
    <x:xf numFmtId="203" fontId="9" fillId="5" borderId="12" xfId="0" applyNumberFormat="1" applyFont="1" applyFill="1" applyBorder="1"/>
    <x:xf numFmtId="203" fontId="9" fillId="5" borderId="10" xfId="0" applyNumberFormat="1" applyFont="1" applyFill="1" applyBorder="1"/>
    <x:xf numFmtId="203" fontId="9" fillId="5" borderId="6" xfId="0" applyNumberFormat="1" applyFont="1" applyFill="1" applyBorder="1"/>
    <x:xf numFmtId="203" fontId="9" fillId="5" borderId="4" xfId="0" applyNumberFormat="1" applyFont="1" applyFill="1" applyBorder="1"/>
    <x:xf numFmtId="203" fontId="9" fillId="5" borderId="12" xfId="0" applyNumberFormat="1" applyFont="1" applyFill="1" applyBorder="1" applyAlignment="1">
      <x:alignment horizontal="center"/>
    </x:xf>
    <x:xf numFmtId="203" fontId="9" fillId="5" borderId="10" xfId="0" applyNumberFormat="1" applyFont="1" applyFill="1" applyBorder="1" applyAlignment="1">
      <x:alignment horizontal="center"/>
    </x:xf>
    <x:xf numFmtId="203" fontId="9" fillId="5" borderId="6" xfId="0" applyNumberFormat="1" applyFont="1" applyFill="1" applyBorder="1" applyAlignment="1">
      <x:alignment horizontal="center"/>
    </x:xf>
    <x:xf numFmtId="203" fontId="9" fillId="5" borderId="4" xfId="0" applyNumberFormat="1" applyFont="1" applyFill="1" applyBorder="1" applyAlignment="1">
      <x:alignment horizontal="center"/>
    </x:xf>
    <x:xf numFmtId="203" fontId="9" fillId="5" borderId="12" xfId="0" applyNumberFormat="1" applyFont="1" applyFill="1" applyBorder="1" applyAlignment="1">
      <x:alignment horizontal="center" vertical="center"/>
    </x:xf>
    <x:xf numFmtId="203" fontId="9" fillId="5" borderId="10" xfId="0" applyNumberFormat="1" applyFont="1" applyFill="1" applyBorder="1" applyAlignment="1">
      <x:alignment horizontal="center" vertical="center"/>
    </x:xf>
    <x:xf numFmtId="203" fontId="9" fillId="5" borderId="6" xfId="0" applyNumberFormat="1" applyFont="1" applyFill="1" applyBorder="1" applyAlignment="1">
      <x:alignment horizontal="center" vertical="center"/>
    </x:xf>
    <x:xf numFmtId="203" fontId="9" fillId="5" borderId="4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/>
    <x:xf numFmtId="0" fontId="5" fillId="3" borderId="7" xfId="0" applyNumberFormat="1" applyFont="1" applyFill="1" applyBorder="1"/>
    <x:xf numFmtId="0" fontId="5" fillId="3" borderId="9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12" xfId="0" applyNumberFormat="1" applyFont="1" applyFill="1" applyBorder="1"/>
    <x:xf numFmtId="0" fontId="10" fillId="3" borderId="10" xfId="0" applyNumberFormat="1" applyFont="1" applyFill="1" applyBorder="1"/>
    <x:xf numFmtId="0" fontId="10" fillId="3" borderId="6" xfId="0" applyNumberFormat="1" applyFont="1" applyFill="1" applyBorder="1"/>
    <x:xf numFmtId="0" fontId="10" fillId="3" borderId="4" xfId="0" applyNumberFormat="1" applyFont="1" applyFill="1" applyBorder="1"/>
    <x:xf numFmtId="203" fontId="10" fillId="3" borderId="12" xfId="0" applyNumberFormat="1" applyFont="1" applyFill="1" applyBorder="1"/>
    <x:xf numFmtId="203" fontId="10" fillId="3" borderId="10" xfId="0" applyNumberFormat="1" applyFont="1" applyFill="1" applyBorder="1"/>
    <x:xf numFmtId="203" fontId="10" fillId="3" borderId="6" xfId="0" applyNumberFormat="1" applyFont="1" applyFill="1" applyBorder="1"/>
    <x:xf numFmtId="203" fontId="10" fillId="3" borderId="4" xfId="0" applyNumberFormat="1" applyFont="1" applyFill="1" applyBorder="1"/>
    <x:xf numFmtId="203" fontId="10" fillId="3" borderId="12" xfId="0" applyNumberFormat="1" applyFont="1" applyFill="1" applyBorder="1" applyAlignment="1">
      <x:alignment horizontal="center"/>
    </x:xf>
    <x:xf numFmtId="203" fontId="10" fillId="3" borderId="10" xfId="0" applyNumberFormat="1" applyFont="1" applyFill="1" applyBorder="1" applyAlignment="1">
      <x:alignment horizontal="center"/>
    </x:xf>
    <x:xf numFmtId="203" fontId="10" fillId="3" borderId="6" xfId="0" applyNumberFormat="1" applyFont="1" applyFill="1" applyBorder="1" applyAlignment="1">
      <x:alignment horizontal="center"/>
    </x:xf>
    <x:xf numFmtId="203" fontId="10" fillId="3" borderId="4" xfId="0" applyNumberFormat="1" applyFont="1" applyFill="1" applyBorder="1" applyAlignment="1">
      <x:alignment horizontal="center"/>
    </x:xf>
    <x:xf numFmtId="203" fontId="10" fillId="3" borderId="12" xfId="0" applyNumberFormat="1" applyFont="1" applyFill="1" applyBorder="1" applyAlignment="1">
      <x:alignment horizontal="center" vertical="center"/>
    </x:xf>
    <x:xf numFmtId="203" fontId="10" fillId="3" borderId="10" xfId="0" applyNumberFormat="1" applyFont="1" applyFill="1" applyBorder="1" applyAlignment="1">
      <x:alignment horizontal="center" vertical="center"/>
    </x:xf>
    <x:xf numFmtId="203" fontId="10" fillId="3" borderId="6" xfId="0" applyNumberFormat="1" applyFont="1" applyFill="1" applyBorder="1" applyAlignment="1">
      <x:alignment horizontal="center" vertical="center"/>
    </x:xf>
    <x:xf numFmtId="203" fontId="10" fillId="3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9" xfId="0" applyNumberFormat="1" applyFont="1" applyFill="1" applyBorder="1"/>
    <x:xf numFmtId="0" fontId="11" fillId="6" borderId="7" xfId="0" applyNumberFormat="1" applyFont="1" applyFill="1" applyBorder="1"/>
    <x:xf numFmtId="0" fontId="11" fillId="6" borderId="9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12" xfId="0" applyNumberFormat="1" applyFont="1" applyFill="1" applyBorder="1"/>
    <x:xf numFmtId="0" fontId="12" fillId="6" borderId="10" xfId="0" applyNumberFormat="1" applyFont="1" applyFill="1" applyBorder="1"/>
    <x:xf numFmtId="0" fontId="12" fillId="6" borderId="6" xfId="0" applyNumberFormat="1" applyFont="1" applyFill="1" applyBorder="1"/>
    <x:xf numFmtId="0" fontId="12" fillId="6" borderId="4" xfId="0" applyNumberFormat="1" applyFont="1" applyFill="1" applyBorder="1"/>
    <x:xf numFmtId="203" fontId="12" fillId="6" borderId="12" xfId="0" applyNumberFormat="1" applyFont="1" applyFill="1" applyBorder="1"/>
    <x:xf numFmtId="203" fontId="12" fillId="6" borderId="10" xfId="0" applyNumberFormat="1" applyFont="1" applyFill="1" applyBorder="1"/>
    <x:xf numFmtId="203" fontId="12" fillId="6" borderId="6" xfId="0" applyNumberFormat="1" applyFont="1" applyFill="1" applyBorder="1"/>
    <x:xf numFmtId="203" fontId="12" fillId="6" borderId="4" xfId="0" applyNumberFormat="1" applyFont="1" applyFill="1" applyBorder="1"/>
    <x:xf numFmtId="203" fontId="12" fillId="6" borderId="12" xfId="0" applyNumberFormat="1" applyFont="1" applyFill="1" applyBorder="1" applyAlignment="1">
      <x:alignment horizontal="center"/>
    </x:xf>
    <x:xf numFmtId="203" fontId="12" fillId="6" borderId="10" xfId="0" applyNumberFormat="1" applyFont="1" applyFill="1" applyBorder="1" applyAlignment="1">
      <x:alignment horizontal="center"/>
    </x:xf>
    <x:xf numFmtId="203" fontId="12" fillId="6" borderId="6" xfId="0" applyNumberFormat="1" applyFont="1" applyFill="1" applyBorder="1" applyAlignment="1">
      <x:alignment horizontal="center"/>
    </x:xf>
    <x:xf numFmtId="203" fontId="12" fillId="6" borderId="4" xfId="0" applyNumberFormat="1" applyFont="1" applyFill="1" applyBorder="1" applyAlignment="1">
      <x:alignment horizontal="center"/>
    </x:xf>
    <x:xf numFmtId="203" fontId="12" fillId="6" borderId="12" xfId="0" applyNumberFormat="1" applyFont="1" applyFill="1" applyBorder="1" applyAlignment="1">
      <x:alignment horizontal="center" vertical="center"/>
    </x:xf>
    <x:xf numFmtId="203" fontId="12" fillId="6" borderId="10" xfId="0" applyNumberFormat="1" applyFont="1" applyFill="1" applyBorder="1" applyAlignment="1">
      <x:alignment horizontal="center" vertical="center"/>
    </x:xf>
    <x:xf numFmtId="203" fontId="12" fillId="6" borderId="6" xfId="0" applyNumberFormat="1" applyFont="1" applyFill="1" applyBorder="1" applyAlignment="1">
      <x:alignment horizontal="center" vertical="center"/>
    </x:xf>
    <x:xf numFmtId="203" fontId="12" fillId="6" borderId="4" xfId="0" applyNumberFormat="1" applyFont="1" applyFill="1" applyBorder="1" applyAlignment="1">
      <x:alignment horizontal="center" vertical="center"/>
    </x:xf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11" fillId="6" borderId="10" xfId="0" applyNumberFormat="1" applyFont="1" applyFill="1" applyBorder="1"/>
    <x:xf numFmtId="0" fontId="11" fillId="6" borderId="11" xfId="0" applyNumberFormat="1" applyFont="1" applyFill="1" applyBorder="1"/>
    <x:xf numFmtId="0" fontId="11" fillId="6" borderId="12" xfId="0" applyNumberFormat="1" applyFont="1" applyFill="1" applyBorder="1"/>
    <x:xf numFmtId="0" fontId="11" fillId="6" borderId="14" xfId="0" applyNumberFormat="1" applyFont="1" applyFill="1" applyBorder="1"/>
    <x:xf numFmtId="0" fontId="11" fillId="6" borderId="15" xfId="0" applyNumberFormat="1" applyFont="1" applyFill="1" applyBorder="1"/>
    <x:xf numFmtId="203" fontId="11" fillId="6" borderId="15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5" fillId="3" borderId="8" xfId="0" applyNumberFormat="1" applyFont="1" applyFill="1" applyBorder="1"/>
    <x:xf numFmtId="203" fontId="8" fillId="5" borderId="5" xfId="0" applyNumberFormat="1" applyFont="1" applyFill="1" applyBorder="1"/>
    <x:xf numFmtId="203" fontId="8" fillId="5" borderId="6" xfId="0" applyNumberFormat="1" applyFont="1" applyFill="1" applyBorder="1"/>
    <x:xf numFmtId="203" fontId="5" fillId="3" borderId="8" xfId="0" applyNumberFormat="1" applyFont="1" applyFill="1" applyBorder="1"/>
    <x:xf numFmtId="203" fontId="5" fillId="3" borderId="9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3" fillId="4" borderId="0" xfId="0" applyNumberFormat="1" applyFont="1" applyFill="1" applyBorder="1"/>
    <x:xf numFmtId="0" fontId="13" fillId="4" borderId="9" xfId="0" applyNumberFormat="1" applyFont="1" applyFill="1" applyBorder="1"/>
    <x:xf numFmtId="0" fontId="13" fillId="4" borderId="16" xfId="0" applyNumberFormat="1" applyFont="1" applyFill="1" applyBorder="1"/>
    <x:xf numFmtId="0" fontId="13" fillId="4" borderId="7" xfId="0" applyNumberFormat="1" applyFont="1" applyFill="1" applyBorder="1"/>
    <x:xf numFmtId="0" fontId="13" fillId="4" borderId="9" xfId="0" applyNumberFormat="1" applyFont="1" applyFill="1" applyBorder="1" applyAlignment="1">
      <x:alignment horizontal="center"/>
    </x:xf>
    <x:xf numFmtId="0" fontId="13" fillId="4" borderId="16" xfId="0" applyNumberFormat="1" applyFont="1" applyFill="1" applyBorder="1" applyAlignment="1">
      <x:alignment horizontal="center"/>
    </x:xf>
    <x:xf numFmtId="0" fontId="13" fillId="4" borderId="7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11" fillId="6" borderId="17" xfId="0" applyNumberFormat="1" applyFont="1" applyFill="1" applyBorder="1"/>
    <x:xf numFmtId="0" fontId="11" fillId="6" borderId="18" xfId="0" applyNumberFormat="1" applyFont="1" applyFill="1" applyBorder="1"/>
    <x:xf numFmtId="0" fontId="11" fillId="6" borderId="19" xfId="0" applyNumberFormat="1" applyFont="1" applyFill="1" applyBorder="1"/>
    <x:xf numFmtId="0" fontId="11" fillId="6" borderId="20" xfId="0" applyNumberFormat="1" applyFont="1" applyFill="1" applyBorder="1"/>
    <x:xf numFmtId="0" fontId="11" fillId="6" borderId="21" xfId="0" applyNumberFormat="1" applyFont="1" applyFill="1" applyBorder="1"/>
    <x:xf numFmtId="0" fontId="11" fillId="6" borderId="22" xfId="0" applyNumberFormat="1" applyFont="1" applyFill="1" applyBorder="1"/>
    <x:xf numFmtId="0" fontId="11" fillId="6" borderId="23" xfId="0" applyNumberFormat="1" applyFont="1" applyFill="1" applyBorder="1"/>
    <x:xf numFmtId="0" fontId="11" fillId="6" borderId="24" xfId="0" applyNumberFormat="1" applyFont="1" applyFill="1" applyBorder="1"/>
    <x:xf numFmtId="0" fontId="11" fillId="6" borderId="17" xfId="0" applyNumberFormat="1" applyFont="1" applyFill="1" applyBorder="1" applyAlignment="1">
      <x:alignment wrapText="1"/>
    </x:xf>
    <x:xf numFmtId="0" fontId="11" fillId="6" borderId="18" xfId="0" applyNumberFormat="1" applyFont="1" applyFill="1" applyBorder="1" applyAlignment="1">
      <x:alignment wrapText="1"/>
    </x:xf>
    <x:xf numFmtId="0" fontId="11" fillId="6" borderId="19" xfId="0" applyNumberFormat="1" applyFont="1" applyFill="1" applyBorder="1" applyAlignment="1">
      <x:alignment wrapText="1"/>
    </x:xf>
    <x:xf numFmtId="0" fontId="11" fillId="6" borderId="2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21" xfId="0" applyNumberFormat="1" applyFont="1" applyFill="1" applyBorder="1" applyAlignment="1">
      <x:alignment wrapText="1"/>
    </x:xf>
    <x:xf numFmtId="0" fontId="11" fillId="6" borderId="22" xfId="0" applyNumberFormat="1" applyFont="1" applyFill="1" applyBorder="1" applyAlignment="1">
      <x:alignment wrapText="1"/>
    </x:xf>
    <x:xf numFmtId="0" fontId="11" fillId="6" borderId="23" xfId="0" applyNumberFormat="1" applyFont="1" applyFill="1" applyBorder="1" applyAlignment="1">
      <x:alignment wrapText="1"/>
    </x:xf>
    <x:xf numFmtId="0" fontId="11" fillId="6" borderId="24" xfId="0" applyNumberFormat="1" applyFont="1" applyFill="1" applyBorder="1" applyAlignment="1">
      <x:alignment wrapText="1"/>
    </x:xf>
    <x:xf numFmtId="0" fontId="11" fillId="6" borderId="17" xfId="0" applyNumberFormat="1" applyFont="1" applyFill="1" applyBorder="1" applyAlignment="1">
      <x:alignment vertical="center" wrapText="1"/>
    </x:xf>
    <x:xf numFmtId="0" fontId="11" fillId="6" borderId="18" xfId="0" applyNumberFormat="1" applyFont="1" applyFill="1" applyBorder="1" applyAlignment="1">
      <x:alignment vertical="center" wrapText="1"/>
    </x:xf>
    <x:xf numFmtId="0" fontId="11" fillId="6" borderId="19" xfId="0" applyNumberFormat="1" applyFont="1" applyFill="1" applyBorder="1" applyAlignment="1">
      <x:alignment vertical="center" wrapText="1"/>
    </x:xf>
    <x:xf numFmtId="0" fontId="11" fillId="6" borderId="2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21" xfId="0" applyNumberFormat="1" applyFont="1" applyFill="1" applyBorder="1" applyAlignment="1">
      <x:alignment vertical="center" wrapText="1"/>
    </x:xf>
    <x:xf numFmtId="0" fontId="11" fillId="6" borderId="22" xfId="0" applyNumberFormat="1" applyFont="1" applyFill="1" applyBorder="1" applyAlignment="1">
      <x:alignment vertical="center" wrapText="1"/>
    </x:xf>
    <x:xf numFmtId="0" fontId="11" fillId="6" borderId="23" xfId="0" applyNumberFormat="1" applyFont="1" applyFill="1" applyBorder="1" applyAlignment="1">
      <x:alignment vertical="center" wrapText="1"/>
    </x:xf>
    <x:xf numFmtId="0" fontId="11" fillId="6" borderId="24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horizontal="center"/>
    </x:xf>
    <x:xf numFmtId="0" fontId="13" fillId="4" borderId="8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vertical="top" wrapText="1"/>
    </x:xf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7" xfId="0" applyNumberFormat="1" applyFont="1" applyFill="1" applyBorder="1"/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30" xfId="0" applyNumberFormat="1" applyFont="1" applyFill="1" applyBorder="1"/>
    <x:xf numFmtId="0" fontId="2" fillId="3" borderId="31" xfId="0" applyNumberFormat="1" applyFont="1" applyFill="1" applyBorder="1"/>
    <x:xf numFmtId="0" fontId="2" fillId="3" borderId="32" xfId="0" applyNumberFormat="1" applyFont="1" applyFill="1" applyBorder="1"/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7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29" xfId="0" applyNumberFormat="1" applyFont="1" applyFill="1" applyBorder="1" applyAlignment="1">
      <x:alignment wrapText="1"/>
    </x:xf>
    <x:xf numFmtId="0" fontId="2" fillId="3" borderId="30" xfId="0" applyNumberFormat="1" applyFont="1" applyFill="1" applyBorder="1" applyAlignment="1">
      <x:alignment wrapText="1"/>
    </x:xf>
    <x:xf numFmtId="0" fontId="2" fillId="3" borderId="31" xfId="0" applyNumberFormat="1" applyFont="1" applyFill="1" applyBorder="1" applyAlignment="1">
      <x:alignment wrapText="1"/>
    </x:xf>
    <x:xf numFmtId="0" fontId="2" fillId="3" borderId="32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30" xfId="0" applyNumberFormat="1" applyFont="1" applyFill="1" applyBorder="1" applyAlignment="1">
      <x:alignment vertical="center" wrapText="1"/>
    </x:xf>
    <x:xf numFmtId="0" fontId="2" fillId="3" borderId="31" xfId="0" applyNumberFormat="1" applyFont="1" applyFill="1" applyBorder="1" applyAlignment="1">
      <x:alignment vertical="center" wrapText="1"/>
    </x:xf>
    <x:xf numFmtId="0" fontId="2" fillId="3" borderId="3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D7193F"/>
      </x:font>
      <x:fill>
        <x:patternFill patternType="solid">
          <x:bgColor rgb="FFFDE8EC"/>
        </x:patternFill>
      </x:fill>
    </x:dxf>
    <x:dxf>
      <x:font>
        <x:color rgb="FFD7193F"/>
      </x:font>
      <x:fill>
        <x:patternFill patternType="solid">
          <x:bgColor rgb="FFFDE8EC"/>
        </x:patternFill>
      </x:fill>
    </x:dxf>
    <x:dxf>
      <x:font>
        <x:b/>
        <x:color rgb="FFB45309"/>
      </x:font>
      <x:fill>
        <x:patternFill patternType="solid">
          <x:bgColor rgb="FFFFF4D6"/>
        </x:patternFill>
      </x:fill>
    </x:dxf>
    <x:dxf>
      <x:font>
        <x:b/>
        <x:color rgb="FFD7193F"/>
      </x:font>
      <x:fill>
        <x:patternFill patternType="solid">
          <x:bgColor rgb="FFFDE8EC"/>
        </x:patternFill>
      </x:fill>
    </x:dxf>
    <x:dxf>
      <x:font>
        <x:b/>
        <x:color rgb="FF11875D"/>
      </x:font>
      <x:fill>
        <x:patternFill patternType="solid">
          <x:bgColor rgb="FFE7F6EF"/>
        </x:patternFill>
      </x:fill>
    </x:dxf>
    <x:dxf>
      <x:font>
        <x:color rgb="FFD7193F"/>
      </x:font>
      <x:fill>
        <x:patternFill patternType="solid">
          <x:bgColor rgb="FFFDE8EC"/>
        </x:patternFill>
      </x:fill>
    </x:dxf>
    <x:dxf>
      <x:font>
        <x:b/>
        <x:color rgb="FFD7193F"/>
      </x:font>
      <x:fill>
        <x:patternFill patternType="solid">
          <x:bgColor rgb="FFFDE8EC"/>
        </x:patternFill>
      </x:fill>
    </x:dxf>
    <x:dxf>
      <x:font>
        <x:b/>
        <x:color rgb="FF11875D"/>
      </x:font>
      <x:fill>
        <x:patternFill patternType="solid">
          <x:bgColor rgb="FFE7F6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4f29409964172" /><Relationship Type="http://schemas.openxmlformats.org/officeDocument/2006/relationships/theme" Target="/xl/theme/theme1.xml" Id="R28f5ee98ebee438c" /><Relationship Type="http://schemas.openxmlformats.org/officeDocument/2006/relationships/sharedStrings" Target="/xl/sharedStrings.xml" Id="R78e22aba3e7c4f63" /><Relationship Type="http://schemas.openxmlformats.org/officeDocument/2006/relationships/worksheet" Target="/xl/worksheets/sheet1.xml" Id="Radda40d5a8e04da9" /><Relationship Type="http://schemas.openxmlformats.org/officeDocument/2006/relationships/worksheet" Target="/xl/worksheets/sheet2.xml" Id="R4a18946968de4c56" /><Relationship Type="http://schemas.openxmlformats.org/officeDocument/2006/relationships/worksheet" Target="/xl/worksheets/sheet3.xml" Id="R0f88fd94c88746e3" /><Relationship Type="http://schemas.openxmlformats.org/officeDocument/2006/relationships/worksheet" Target="/xl/worksheets/sheet4.xml" Id="R9aa3226694b540c7" /><Relationship Type="http://schemas.openxmlformats.org/officeDocument/2006/relationships/worksheet" Target="/xl/worksheets/sheet5.xml" Id="R90322108427d4e23" /><Relationship Type="http://schemas.openxmlformats.org/officeDocument/2006/relationships/worksheet" Target="/xl/worksheets/sheet6.xml" Id="R6de52ec47eaf4b39" /></Relationships>
</file>

<file path=xl/tables/table1.xml><?xml version="1.0" encoding="utf-8"?>
<x:table xmlns:x="http://schemas.openxmlformats.org/spreadsheetml/2006/main" id="1" name="PositionsTable" displayName="PositionsTable" ref="A1:S139" headerRowCount="1" totalsRowCount="0" totalsRowShown="0">
  <x:autoFilter ref="A1:S139"/>
  <x:tableColumns count="19">
    <x:tableColumn id="1" name="Дата"/>
    <x:tableColumn id="2" name="Тип"/>
    <x:tableColumn id="3" name="№ документа"/>
    <x:tableColumn id="4" name="Корректируемый документ"/>
    <x:tableColumn id="5" name="LP"/>
    <x:tableColumn id="6" name="Товар / описание"/>
    <x:tableColumn id="7" name="Производитель"/>
    <x:tableColumn id="8" name="Количество"/>
    <x:tableColumn id="9" name="Цена netto, zł"/>
    <x:tableColumn id="10" name="VAT"/>
    <x:tableColumn id="11" name="Сумма netto, zł"/>
    <x:tableColumn id="12" name="Корректировка округления VAT, zł"/>
    <x:tableColumn id="13" name="VAT, zł"/>
    <x:tableColumn id="14" name="Сумма brutto, zł"/>
    <x:tableColumn id="15" name="№ WZ"/>
    <x:tableColumn id="16" name="Файл-источник"/>
    <x:tableColumn id="17" name="Страница"/>
    <x:tableColumn id="18" name="Учётная категория"/>
    <x:tableColumn id="19" name="Группа расходни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roductsTable" displayName="ProductsTable" ref="A1:F94" headerRowCount="1" totalsRowCount="0" totalsRowShown="0">
  <x:autoFilter ref="A1:F94"/>
  <x:tableColumns count="6">
    <x:tableColumn id="1" name="Товар / описание"/>
    <x:tableColumn id="2" name="Производитель"/>
    <x:tableColumn id="3" name="Количество netto"/>
    <x:tableColumn id="4" name="Сумма netto, zł"/>
    <x:tableColumn id="5" name="VAT, zł"/>
    <x:tableColumn id="6" name="Сумма brutto, z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ConsumablesDetailTable" displayName="ConsumablesDetailTable" ref="A14:L40" headerRowCount="1" totalsRowCount="0" totalsRowShown="0">
  <x:autoFilter ref="A14:L40"/>
  <x:tableColumns count="12">
    <x:tableColumn id="1" name="Дата"/>
    <x:tableColumn id="2" name="Тип"/>
    <x:tableColumn id="3" name="№ документа"/>
    <x:tableColumn id="4" name="Группа"/>
    <x:tableColumn id="5" name="Товар / описание"/>
    <x:tableColumn id="6" name="Производитель"/>
    <x:tableColumn id="7" name="Количество"/>
    <x:tableColumn id="8" name="Цена netto, zł"/>
    <x:tableColumn id="9" name="Сумма netto, zł"/>
    <x:tableColumn id="10" name="VAT, zł"/>
    <x:tableColumn id="11" name="Сумма brutto, zł"/>
    <x:tableColumn id="12" name="Файл-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DocumentsTable" displayName="DocumentsTable" ref="A1:Q43" headerRowCount="1" totalsRowCount="0" totalsRowShown="0">
  <x:autoFilter ref="A1:Q43"/>
  <x:tableColumns count="17">
    <x:tableColumn id="1" name="Дата"/>
    <x:tableColumn id="2" name="Тип"/>
    <x:tableColumn id="3" name="№ документа"/>
    <x:tableColumn id="4" name="Корректируемый документ"/>
    <x:tableColumn id="5" name="Позиций в PDF"/>
    <x:tableColumn id="6" name="Строк движения"/>
    <x:tableColumn id="7" name="Netto по PDF, zł"/>
    <x:tableColumn id="8" name="VAT по PDF, zł"/>
    <x:tableColumn id="9" name="Brutto по PDF, zł"/>
    <x:tableColumn id="10" name="Netto из позиций, zł"/>
    <x:tableColumn id="11" name="VAT из позиций, zł"/>
    <x:tableColumn id="12" name="Brutto из позиций, zł"/>
    <x:tableColumn id="13" name="Δ Netto"/>
    <x:tableColumn id="14" name="Δ VAT"/>
    <x:tableColumn id="15" name="Δ Brutto"/>
    <x:tableColumn id="16" name="Проверка"/>
    <x:tableColumn id="17" name="Файл-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DuplicatesTable" displayName="DuplicatesTable" ref="A1:D11" headerRowCount="1" totalsRowCount="0" totalsRowShown="0">
  <x:autoFilter ref="A1:D11"/>
  <x:tableColumns count="4">
    <x:tableColumn id="1" name="№ документа"/>
    <x:tableColumn id="2" name="Повторный файл (не учтён)"/>
    <x:tableColumn id="3" name="Файл, учтённый в расчёте"/>
    <x:tableColumn id="4" name="Реш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330b83d8814b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e82ec323146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bee1c028a14f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ad4baac2ae48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065bf0a0b840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6" hidden="0" customWidth="1"/>
    <x:col min="4" max="4" width="32" hidden="0" customWidth="1"/>
    <x:col min="5" max="5" width="22" hidden="0" customWidth="1"/>
    <x:col min="6" max="6" width="12" hidden="0" customWidth="1"/>
    <x:col min="7" max="7" width="32" hidden="0" customWidth="1"/>
    <x:col min="8" max="8" width="22" hidden="0" customWidth="1"/>
  </x:cols>
  <x:sheetData>
    <x:row r="1" ht="34" customHeight="1">
      <x:c r="A1" s="51" t="str">
        <x:v>Inter Cars — сводный отчёт по загруженным документам</x:v>
      </x:c>
      <x:c r="B1" s="51"/>
      <x:c r="C1" s="51"/>
      <x:c r="D1" s="51"/>
      <x:c r="E1" s="51"/>
      <x:c r="F1" s="51"/>
      <x:c r="G1" s="51"/>
      <x:c r="H1" s="51"/>
    </x:row>
    <x:row r="2">
      <x:c r="A2" s="54" t="str">
        <x:v>Период документов: август 2026 | 52 PDF-подтверждения | 42 уникальных документов | суммы в PLN</x:v>
      </x:c>
      <x:c r="B2" s="54"/>
      <x:c r="C2" s="54"/>
      <x:c r="D2" s="54"/>
      <x:c r="E2" s="54"/>
      <x:c r="F2" s="54"/>
      <x:c r="G2" s="54"/>
      <x:c r="H2" s="54"/>
    </x:row>
    <x:row r="4">
      <x:c r="A4" s="61" t="str">
        <x:v>Запчасти brutto (без расходников)</x:v>
      </x:c>
      <x:c r="B4" s="62"/>
      <x:c r="D4" s="84" t="str">
        <x:v>Расходники brutto (отдельно)</x:v>
      </x:c>
      <x:c r="E4" s="85"/>
      <x:c r="G4" s="109" t="str">
        <x:v>Всего закупок brutto</x:v>
      </x:c>
      <x:c r="H4" s="110"/>
    </x:row>
    <x:row r="5">
      <x:c r="A5" s="76" t="n">
        <x:f>SUMIFS('Все позиции'!$N$2:$N$139,'Все позиции'!$R$2:$R$139,"Запчасть")</x:f>
        <x:v>8981.09</x:v>
      </x:c>
      <x:c r="B5" s="77"/>
      <x:c r="D5" s="99" t="n">
        <x:f>SUMIFS('Все позиции'!$N$2:$N$139,'Все позиции'!$R$2:$R$139,"Расходник")</x:f>
        <x:v>3842.18</x:v>
      </x:c>
      <x:c r="E5" s="100"/>
      <x:c r="G5" s="124" t="n">
        <x:f>SUM('Все позиции'!$N$2:$N$139)</x:f>
        <x:v>12823.270000000004</x:v>
      </x:c>
      <x:c r="H5" s="125"/>
    </x:row>
    <x:row r="6">
      <x:c r="A6" s="78"/>
      <x:c r="B6" s="79"/>
      <x:c r="D6" s="101"/>
      <x:c r="E6" s="102"/>
      <x:c r="G6" s="126"/>
      <x:c r="H6" s="127"/>
    </x:row>
    <x:row r="8">
      <x:c r="A8" s="30" t="str">
        <x:v>Движение</x:v>
      </x:c>
      <x:c r="B8" s="30" t="str">
        <x:v>Netto, zł</x:v>
      </x:c>
      <x:c r="C8" s="30" t="str">
        <x:v>VAT, zł</x:v>
      </x:c>
      <x:c r="D8" s="30" t="str">
        <x:v>Brutto, zł</x:v>
      </x:c>
      <x:c r="E8" s="30" t="str">
        <x:v>Учётная категория</x:v>
      </x:c>
      <x:c r="F8" s="30" t="str">
        <x:v>Netto, zł</x:v>
      </x:c>
      <x:c r="G8" s="30" t="str">
        <x:v>VAT, zł</x:v>
      </x:c>
      <x:c r="H8" s="30" t="str">
        <x:v>Brutto, zł</x:v>
      </x:c>
    </x:row>
    <x:row r="9">
      <x:c r="A9" s="31" t="str">
        <x:v>Покупки</x:v>
      </x:c>
      <x:c r="B9" s="42" t="n">
        <x:f>SUMIFS('Документы'!$G$2:$G$43,'Документы'!$B$2:$B$43,"F")</x:f>
        <x:v>13414.2</x:v>
      </x:c>
      <x:c r="C9" s="42" t="n">
        <x:f>SUMIFS('Документы'!$H$2:$H$43,'Документы'!$B$2:$B$43,"F")</x:f>
        <x:v>3079.8399999999997</x:v>
      </x:c>
      <x:c r="D9" s="43" t="n">
        <x:f>SUMIFS('Документы'!$I$2:$I$43,'Документы'!$B$2:$B$43,"F")</x:f>
        <x:v>16494.04</x:v>
      </x:c>
      <x:c r="E9" s="140" t="str">
        <x:v>Запчасти</x:v>
      </x:c>
      <x:c r="F9" s="147" t="n">
        <x:f>SUMIFS('Все позиции'!$K$2:$K$139,'Все позиции'!$R$2:$R$139,"Запчасть")</x:f>
        <x:v>7301.69</x:v>
      </x:c>
      <x:c r="G9" s="147" t="n">
        <x:f>SUMIFS('Все позиции'!$M$2:$M$139,'Все позиции'!$R$2:$R$139,"Запчасть")</x:f>
        <x:v>1679.4000000000003</x:v>
      </x:c>
      <x:c r="H9" s="148" t="n">
        <x:f>SUMIFS('Все позиции'!$N$2:$N$139,'Все позиции'!$R$2:$R$139,"Запчасть")</x:f>
        <x:v>8981.09</x:v>
      </x:c>
    </x:row>
    <x:row r="10">
      <x:c r="A10" s="34" t="str">
        <x:v>Корректировки / возвраты</x:v>
      </x:c>
      <x:c r="B10" s="44" t="n">
        <x:f>SUMIFS('Документы'!$G$2:$G$43,'Документы'!$B$2:$B$43,"FK")</x:f>
        <x:v>-2984.37</x:v>
      </x:c>
      <x:c r="C10" s="44" t="n">
        <x:f>SUMIFS('Документы'!$H$2:$H$43,'Документы'!$B$2:$B$43,"FK")</x:f>
        <x:v>-686.3999999999999</x:v>
      </x:c>
      <x:c r="D10" s="45" t="n">
        <x:f>SUMIFS('Документы'!$I$2:$I$43,'Документы'!$B$2:$B$43,"FK")</x:f>
        <x:v>-3670.77</x:v>
      </x:c>
      <x:c r="E10" s="81" t="str">
        <x:v>Расходники</x:v>
      </x:c>
      <x:c r="F10" s="149" t="n">
        <x:f>SUMIFS('Все позиции'!$K$2:$K$139,'Все позиции'!$R$2:$R$139,"Расходник")</x:f>
        <x:v>3128.14</x:v>
      </x:c>
      <x:c r="G10" s="149" t="n">
        <x:f>SUMIFS('Все позиции'!$M$2:$M$139,'Все позиции'!$R$2:$R$139,"Расходник")</x:f>
        <x:v>714.0400000000001</x:v>
      </x:c>
      <x:c r="H10" s="150" t="n">
        <x:f>SUMIFS('Все позиции'!$N$2:$N$139,'Все позиции'!$R$2:$R$139,"Расходник")</x:f>
        <x:v>3842.18</x:v>
      </x:c>
    </x:row>
    <x:row r="11">
      <x:c r="A11" s="134" t="str">
        <x:v>Итого после корректировок</x:v>
      </x:c>
      <x:c r="B11" s="136" t="n">
        <x:f>SUM('Документы'!$G$2:$G$43)</x:f>
        <x:v>10429.83</x:v>
      </x:c>
      <x:c r="C11" s="136" t="n">
        <x:f>SUM('Документы'!$H$2:$H$43)</x:f>
        <x:v>2393.44</x:v>
      </x:c>
      <x:c r="D11" s="136" t="n">
        <x:f>SUM('Документы'!$I$2:$I$43)</x:f>
        <x:v>12823.27</x:v>
      </x:c>
      <x:c r="E11" s="134" t="str">
        <x:v>Всего по документам</x:v>
      </x:c>
      <x:c r="F11" s="136" t="n">
        <x:f>SUM('Все позиции'!$K$2:$K$139)</x:f>
        <x:v>10429.829999999998</x:v>
      </x:c>
      <x:c r="G11" s="136" t="n">
        <x:f>SUM('Все позиции'!$M$2:$M$139)</x:f>
        <x:v>2393.440000000001</x:v>
      </x:c>
      <x:c r="H11" s="136" t="n">
        <x:f>SUM('Все позиции'!$N$2:$N$139)</x:f>
        <x:v>12823.270000000004</x:v>
      </x:c>
    </x:row>
    <x:row r="14">
      <x:c r="A14" s="151" t="str">
        <x:v>Контроль полноты относительно общей выписки за 01.08–31.08.2026</x:v>
      </x:c>
      <x:c r="B14" s="151"/>
      <x:c r="C14" s="151"/>
      <x:c r="D14" s="151"/>
      <x:c r="E14" s="151"/>
      <x:c r="F14" s="151"/>
      <x:c r="G14" s="151"/>
      <x:c r="H14" s="151"/>
    </x:row>
    <x:row r="15">
      <x:c r="A15" s="156" t="str">
        <x:v>Показатель</x:v>
      </x:c>
      <x:c r="B15" s="157" t="str">
        <x:v>По общей выписке</x:v>
      </x:c>
      <x:c r="C15" s="157" t="str">
        <x:v>Загружено</x:v>
      </x:c>
      <x:c r="D15" s="157" t="str">
        <x:v>Не хватает / разница</x:v>
      </x:c>
      <x:c r="E15" s="158" t="str">
        <x:v>Статус</x:v>
      </x:c>
    </x:row>
    <x:row r="16">
      <x:c r="A16" s="31" t="str">
        <x:v>Обычные фактуры, шт.</x:v>
      </x:c>
      <x:c r="B16" s="159" t="n">
        <x:v>32</x:v>
      </x:c>
      <x:c r="C16" s="159" t="n">
        <x:f>COUNTIF('Документы'!$B$2:$B$43,"F")</x:f>
        <x:v>32</x:v>
      </x:c>
      <x:c r="D16" s="159" t="n">
        <x:f>B16-C16</x:f>
        <x:v>0</x:v>
      </x:c>
      <x:c r="E16" s="33" t="str">
        <x:f>IF(D16=0,"КОМПЛЕКТНО","НЕПОЛНО")</x:f>
        <x:v>КОМПЛЕКТНО</x:v>
      </x:c>
    </x:row>
    <x:row r="17">
      <x:c r="A17" s="34" t="str">
        <x:v>Покупки brutto, zł</x:v>
      </x:c>
      <x:c r="B17" s="44" t="n">
        <x:v>16494.04</x:v>
      </x:c>
      <x:c r="C17" s="44" t="n">
        <x:f>SUMIFS('Документы'!$I$2:$I$43,'Документы'!$B$2:$B$43,"F")</x:f>
        <x:v>16494.04</x:v>
      </x:c>
      <x:c r="D17" s="44" t="n">
        <x:f>ROUND(B17-C17,2)</x:f>
        <x:v>0</x:v>
      </x:c>
      <x:c r="E17" s="36" t="str">
        <x:f>IF(ABS(D17)&lt;0.01,"КОМПЛЕКТНО","НЕПОЛНО")</x:f>
        <x:v>КОМПЛЕКТНО</x:v>
      </x:c>
    </x:row>
    <x:row r="18">
      <x:c r="A18" s="34" t="str">
        <x:v>Корректировки, шт.</x:v>
      </x:c>
      <x:c r="B18" s="160" t="n">
        <x:v>10</x:v>
      </x:c>
      <x:c r="C18" s="160" t="n">
        <x:f>COUNTIF('Документы'!$B$2:$B$43,"FK")</x:f>
        <x:v>10</x:v>
      </x:c>
      <x:c r="D18" s="160" t="n">
        <x:f>B18-C18</x:f>
        <x:v>0</x:v>
      </x:c>
      <x:c r="E18" s="36" t="str">
        <x:f>IF(D18=0,"КОМПЛЕКТНО","НЕПОЛНО")</x:f>
        <x:v>КОМПЛЕКТНО</x:v>
      </x:c>
    </x:row>
    <x:row r="19">
      <x:c r="A19" s="37" t="str">
        <x:v>Корректировки brutto, zł</x:v>
      </x:c>
      <x:c r="B19" s="46" t="n">
        <x:v>-3670.77</x:v>
      </x:c>
      <x:c r="C19" s="46" t="n">
        <x:f>SUMIFS('Документы'!$I$2:$I$43,'Документы'!$B$2:$B$43,"FK")</x:f>
        <x:v>-3670.77</x:v>
      </x:c>
      <x:c r="D19" s="46" t="n">
        <x:f>ROUND(B19-C19,2)</x:f>
        <x:v>0</x:v>
      </x:c>
      <x:c r="E19" s="39" t="str">
        <x:f>IF(ABS(D19)&lt;0.01,"КОМПЛЕКТНО","НЕПОЛНО")</x:f>
        <x:v>КОМПЛЕКТНО</x:v>
      </x:c>
    </x:row>
    <x:row r="22">
      <x:c r="A22" s="178" t="str">
        <x:v>Комплект полный: 32 обычные фактуры на 16 494,04 zł brutto и 10 корректировок / возвратов на (3 670,77) zł brutto полностью совпадают с контрольными источниками. 10 повторных копий корректировок распознаны и не посчитаны второй раз.</x:v>
      </x:c>
      <x:c r="B22" s="179"/>
      <x:c r="C22" s="179"/>
      <x:c r="D22" s="179"/>
      <x:c r="E22" s="179"/>
      <x:c r="F22" s="179"/>
      <x:c r="G22" s="179"/>
      <x:c r="H22" s="180"/>
    </x:row>
    <x:row r="23">
      <x:c r="A23" s="181"/>
      <x:c r="B23" s="182"/>
      <x:c r="C23" s="182"/>
      <x:c r="D23" s="182"/>
      <x:c r="E23" s="182"/>
      <x:c r="F23" s="182"/>
      <x:c r="G23" s="182"/>
      <x:c r="H23" s="183"/>
    </x:row>
    <x:row r="24">
      <x:c r="A24" s="184"/>
      <x:c r="B24" s="185"/>
      <x:c r="C24" s="185"/>
      <x:c r="D24" s="185"/>
      <x:c r="E24" s="185"/>
      <x:c r="F24" s="185"/>
      <x:c r="G24" s="185"/>
      <x:c r="H24" s="186"/>
    </x:row>
    <x:row r="27">
      <x:c r="A27" s="188" t="str">
        <x:v>Проверка документов</x:v>
      </x:c>
      <x:c r="B27" s="188" t="str">
        <x:v>Уникальных</x:v>
      </x:c>
      <x:c r="C27" s="188" t="str">
        <x:v>Совпало по суммам</x:v>
      </x:c>
      <x:c r="D27" s="188" t="str">
        <x:v>Требуют проверки</x:v>
      </x:c>
      <x:c r="E27" s="188" t="str">
        <x:v>Дубликатов исключено</x:v>
      </x:c>
    </x:row>
    <x:row r="28">
      <x:c r="A28" s="35" t="str">
        <x:f>"Сверка PDF ↔ позиции"</x:f>
        <x:v>Сверка PDF ↔ позиции</x:v>
      </x:c>
      <x:c r="B28" s="160" t="n">
        <x:f>COUNTA('Документы'!$C$2:$C$43)</x:f>
        <x:v>42</x:v>
      </x:c>
      <x:c r="C28" s="160" t="n">
        <x:f>COUNTIF('Документы'!$P$2:$P$43,"OK")</x:f>
        <x:v>42</x:v>
      </x:c>
      <x:c r="D28" s="160" t="n">
        <x:f>COUNTIF('Документы'!$P$2:$P$43,"ПРОВЕРИТЬ")</x:f>
        <x:v>0</x:v>
      </x:c>
      <x:c r="E28" s="160" t="n">
        <x:f>COUNTA('Дубликаты'!$A$2:$A$11)</x:f>
        <x:v>10</x:v>
      </x:c>
    </x:row>
    <x:row r="31">
      <x:c r="A31" s="191" t="str">
        <x:v>Источники: 52 PDF-файла «Sales confirmation for document …pdf», из них 42 уникальных документа и 10 повторных копий; контроль полноты — Invoices_20260801-20260831.pdf и сводка корректировок e-Catalog. F = покупка; FK = корректировка / возврат. Нулевые строки в корректировках исключены как не влияющие на движение. Разницы округления VAT в 0,01 zł распределены на последнюю позицию соответствующего документа.</x:v>
      </x:c>
      <x:c r="B31" s="191"/>
      <x:c r="C31" s="191"/>
      <x:c r="D31" s="191"/>
      <x:c r="E31" s="191"/>
      <x:c r="F31" s="191"/>
      <x:c r="G31" s="191"/>
      <x:c r="H31" s="191"/>
    </x:row>
    <x:row r="32">
      <x:c r="A32" s="191"/>
      <x:c r="B32" s="191"/>
      <x:c r="C32" s="191"/>
      <x:c r="D32" s="191"/>
      <x:c r="E32" s="191"/>
      <x:c r="F32" s="191"/>
      <x:c r="G32" s="191"/>
      <x:c r="H32" s="191"/>
    </x:row>
    <x:row r="34">
      <x:c r="A34" s="209" t="str">
        <x:v>Правило разделения: к расходникам отнесены моторные и трансмиссионные масла, охлаждающие жидкости, масло кондиционера, автохимия и защитные перчатки. Фильтры, свечи, лампы, предохранители, колодки и остальные детали, устанавливаемые на автомобиль, оставлены в зачёте запчастей. Полный перечень исключённых позиций находится на листе «Расходники».</x:v>
      </x:c>
      <x:c r="B34" s="210"/>
      <x:c r="C34" s="210"/>
      <x:c r="D34" s="210"/>
      <x:c r="E34" s="210"/>
      <x:c r="F34" s="210"/>
      <x:c r="G34" s="210"/>
      <x:c r="H34" s="211"/>
    </x:row>
    <x:row r="35">
      <x:c r="A35" s="212"/>
      <x:c r="B35" s="213"/>
      <x:c r="C35" s="213"/>
      <x:c r="D35" s="213"/>
      <x:c r="E35" s="213"/>
      <x:c r="F35" s="213"/>
      <x:c r="G35" s="213"/>
      <x:c r="H35" s="214"/>
    </x:row>
    <x:row r="36">
      <x:c r="A36" s="215"/>
      <x:c r="B36" s="216"/>
      <x:c r="C36" s="216"/>
      <x:c r="D36" s="216"/>
      <x:c r="E36" s="216"/>
      <x:c r="F36" s="216"/>
      <x:c r="G36" s="216"/>
      <x:c r="H36" s="217"/>
    </x:row>
  </x:sheetData>
  <x:mergeCells>
    <x:mergeCell ref="A1:H1"/>
    <x:mergeCell ref="A2:H2"/>
    <x:mergeCell ref="A4:B4"/>
    <x:mergeCell ref="A5:B6"/>
    <x:mergeCell ref="D4:E4"/>
    <x:mergeCell ref="D5:E6"/>
    <x:mergeCell ref="G4:H4"/>
    <x:mergeCell ref="G5:H6"/>
    <x:mergeCell ref="A14:H14"/>
    <x:mergeCell ref="A22:H24"/>
    <x:mergeCell ref="A31:H32"/>
    <x:mergeCell ref="A34:H36"/>
  </x:mergeCells>
  <x:conditionalFormatting sqref="E16:E19">
    <x:cfRule type="containsText" dxfId="6" priority="1" operator="containsText" text="НЕПОЛНО"/>
    <x:cfRule type="containsText" dxfId="7" priority="2" operator="containsText" text="КОМПЛЕКТНО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3" hidden="0" customWidth="1"/>
    <x:col min="4" max="4" width="23" hidden="0" customWidth="1"/>
    <x:col min="5" max="5" width="6" hidden="0" customWidth="1"/>
    <x:col min="6" max="6" width="48" hidden="0" customWidth="1"/>
    <x:col min="7" max="7" width="18" hidden="0" customWidth="1"/>
    <x:col min="8" max="8" width="12" hidden="0" customWidth="1"/>
    <x:col min="9" max="9" width="15" hidden="0" customWidth="1"/>
    <x:col min="10" max="10" width="9" hidden="0" customWidth="1"/>
    <x:col min="11" max="11" width="17" hidden="0" customWidth="1"/>
    <x:col min="12" max="12" width="20" hidden="0" customWidth="1"/>
    <x:col min="13" max="13" width="14" hidden="0" customWidth="1"/>
    <x:col min="14" max="14" width="17" hidden="0" customWidth="1"/>
    <x:col min="15" max="15" width="18" hidden="0" customWidth="1"/>
    <x:col min="16" max="16" width="38" hidden="0" customWidth="1"/>
    <x:col min="17" max="17" width="10" hidden="0" customWidth="1"/>
    <x:col min="18" max="18" width="18" hidden="0" customWidth="1"/>
    <x:col min="19" max="19" width="24" hidden="0" customWidth="1"/>
  </x:cols>
  <x:sheetData>
    <x:row r="1" ht="36" customHeight="1">
      <x:c r="A1" s="17" t="str">
        <x:v>Дата</x:v>
      </x:c>
      <x:c r="B1" s="18" t="str">
        <x:v>Тип</x:v>
      </x:c>
      <x:c r="C1" s="18" t="str">
        <x:v>№ документа</x:v>
      </x:c>
      <x:c r="D1" s="18" t="str">
        <x:v>Корректируемый документ</x:v>
      </x:c>
      <x:c r="E1" s="18" t="str">
        <x:v>LP</x:v>
      </x:c>
      <x:c r="F1" s="18" t="str">
        <x:v>Товар / описание</x:v>
      </x:c>
      <x:c r="G1" s="18" t="str">
        <x:v>Производитель</x:v>
      </x:c>
      <x:c r="H1" s="18" t="str">
        <x:v>Количество</x:v>
      </x:c>
      <x:c r="I1" s="18" t="str">
        <x:v>Цена netto, zł</x:v>
      </x:c>
      <x:c r="J1" s="18" t="str">
        <x:v>VAT</x:v>
      </x:c>
      <x:c r="K1" s="18" t="str">
        <x:v>Сумма netto, zł</x:v>
      </x:c>
      <x:c r="L1" s="18" t="str">
        <x:v>Корректировка округления VAT, zł</x:v>
      </x:c>
      <x:c r="M1" s="18" t="str">
        <x:v>VAT, zł</x:v>
      </x:c>
      <x:c r="N1" s="18" t="str">
        <x:v>Сумма brutto, zł</x:v>
      </x:c>
      <x:c r="O1" s="18" t="str">
        <x:v>№ WZ</x:v>
      </x:c>
      <x:c r="P1" s="18" t="str">
        <x:v>Файл-источник</x:v>
      </x:c>
      <x:c r="Q1" s="18" t="str">
        <x:v>Страница</x:v>
      </x:c>
      <x:c r="R1" s="18" t="str">
        <x:v>Учётная категория</x:v>
      </x:c>
      <x:c r="S1" s="19" t="str">
        <x:v>Группа расходника</x:v>
      </x:c>
    </x:row>
    <x:row r="2">
      <x:c r="A2" s="1" t="n">
        <x:v>46237</x:v>
      </x:c>
      <x:c r="B2" t="str">
        <x:v>F</x:v>
      </x:c>
      <x:c r="C2" t="str">
        <x:v>00043648/MAT/26/F</x:v>
      </x:c>
      <x:c r="D2" t="str"/>
      <x:c r="E2" s="2" t="n">
        <x:v>1</x:v>
      </x:c>
      <x:c r="F2" t="str">
        <x:v>HP113 776/20 Bezpiecznik</x:v>
      </x:c>
      <x:c r="G2" t="str">
        <x:v>HANS PRIES</x:v>
      </x:c>
      <x:c r="H2" s="3" t="n">
        <x:v>1</x:v>
      </x:c>
      <x:c r="I2" s="4" t="n">
        <x:v>28.46</x:v>
      </x:c>
      <x:c r="J2" s="5" t="n">
        <x:v>0.23</x:v>
      </x:c>
      <x:c r="K2" s="4" t="n">
        <x:f>ROUND(H2*I2,2)</x:f>
        <x:v>28.46</x:v>
      </x:c>
      <x:c r="L2" s="4" t="n">
        <x:v>0</x:v>
      </x:c>
      <x:c r="M2" s="4" t="n">
        <x:f>ROUND(K2*J2,2)+L2</x:f>
        <x:v>6.55</x:v>
      </x:c>
      <x:c r="N2" s="4" t="n">
        <x:f>K2+M2</x:f>
        <x:v>35.01</x:v>
      </x:c>
      <x:c r="O2" t="str">
        <x:v>00189169/MAT</x:v>
      </x:c>
      <x:c r="P2" t="str">
        <x:v>Sales confirmation for document 43648(1).pdf</x:v>
      </x:c>
      <x:c r="Q2" s="2" t="n">
        <x:v>1</x:v>
      </x:c>
      <x:c r="R2" t="str">
        <x:v>Запчасть</x:v>
      </x:c>
      <x:c r="S2" t="str"/>
    </x:row>
    <x:row r="3">
      <x:c r="A3" s="1" t="n">
        <x:v>46239</x:v>
      </x:c>
      <x:c r="B3" t="str">
        <x:v>F</x:v>
      </x:c>
      <x:c r="C3" t="str">
        <x:v>00044087/MAT/26/F</x:v>
      </x:c>
      <x:c r="D3" t="str"/>
      <x:c r="E3" s="2" t="n">
        <x:v>1</x:v>
      </x:c>
      <x:c r="F3" t="str">
        <x:v>ER OL6001.K.P2 Olej do układu klimatyzacji</x:v>
      </x:c>
      <x:c r="G3" t="str">
        <x:v>ERRECOM</x:v>
      </x:c>
      <x:c r="H3" s="3" t="n">
        <x:v>1</x:v>
      </x:c>
      <x:c r="I3" s="4" t="n">
        <x:v>67.6</x:v>
      </x:c>
      <x:c r="J3" s="5" t="n">
        <x:v>0.23</x:v>
      </x:c>
      <x:c r="K3" s="4" t="n">
        <x:f>ROUND(H3*I3,2)</x:f>
        <x:v>67.6</x:v>
      </x:c>
      <x:c r="L3" s="4" t="n">
        <x:v>0</x:v>
      </x:c>
      <x:c r="M3" s="4" t="n">
        <x:f>ROUND(K3*J3,2)+L3</x:f>
        <x:v>15.55</x:v>
      </x:c>
      <x:c r="N3" s="4" t="n">
        <x:f>K3+M3</x:f>
        <x:v>83.14999999999999</x:v>
      </x:c>
      <x:c r="O3" t="str">
        <x:v>00190810/MAT</x:v>
      </x:c>
      <x:c r="P3" t="str">
        <x:v>Sales confirmation for document 44087(1).pdf</x:v>
      </x:c>
      <x:c r="Q3" s="2" t="n">
        <x:v>1</x:v>
      </x:c>
      <x:c r="R3" t="str">
        <x:v>Расходник</x:v>
      </x:c>
      <x:c r="S3" t="str">
        <x:v>Масло кондиционера</x:v>
      </x:c>
    </x:row>
    <x:row r="4">
      <x:c r="A4" s="1" t="n">
        <x:v>46240</x:v>
      </x:c>
      <x:c r="B4" t="str">
        <x:v>F</x:v>
      </x:c>
      <x:c r="C4" t="str">
        <x:v>00044215/MAT/26/F</x:v>
      </x:c>
      <x:c r="D4" t="str"/>
      <x:c r="E4" s="2" t="n">
        <x:v>1</x:v>
      </x:c>
      <x:c r="F4" t="str">
        <x:v>LP2005 Klocek hamulcowy kpl.</x:v>
      </x:c>
      <x:c r="G4" t="str">
        <x:v>DELPHI</x:v>
      </x:c>
      <x:c r="H4" s="3" t="n">
        <x:v>1</x:v>
      </x:c>
      <x:c r="I4" s="4" t="n">
        <x:v>80.51</x:v>
      </x:c>
      <x:c r="J4" s="5" t="n">
        <x:v>0.23</x:v>
      </x:c>
      <x:c r="K4" s="4" t="n">
        <x:f>ROUND(H4*I4,2)</x:f>
        <x:v>80.51</x:v>
      </x:c>
      <x:c r="L4" s="4" t="n">
        <x:v>0</x:v>
      </x:c>
      <x:c r="M4" s="4" t="n">
        <x:f>ROUND(K4*J4,2)+L4</x:f>
        <x:v>18.52</x:v>
      </x:c>
      <x:c r="N4" s="4" t="n">
        <x:f>K4+M4</x:f>
        <x:v>99.03</x:v>
      </x:c>
      <x:c r="O4" t="str">
        <x:v>00192259/MAT</x:v>
      </x:c>
      <x:c r="P4" t="str">
        <x:v>Sales confirmation for document 44215(1).pdf</x:v>
      </x:c>
      <x:c r="Q4" s="2" t="n">
        <x:v>1</x:v>
      </x:c>
      <x:c r="R4" t="str">
        <x:v>Запчасть</x:v>
      </x:c>
      <x:c r="S4" t="str"/>
    </x:row>
    <x:row r="5">
      <x:c r="A5" s="1" t="n">
        <x:v>46240</x:v>
      </x:c>
      <x:c r="B5" t="str">
        <x:v>F</x:v>
      </x:c>
      <x:c r="C5" t="str">
        <x:v>00044215/MAT/26/F</x:v>
      </x:c>
      <x:c r="D5" t="str"/>
      <x:c r="E5" s="2" t="n">
        <x:v>2</x:v>
      </x:c>
      <x:c r="F5" t="str">
        <x:v>WS0162A Czujnik zużycia klocka hamulcowego</x:v>
      </x:c>
      <x:c r="G5" t="str">
        <x:v>QUICK</x:v>
      </x:c>
      <x:c r="H5" s="3" t="n">
        <x:v>2</x:v>
      </x:c>
      <x:c r="I5" s="4" t="n">
        <x:v>11.05</x:v>
      </x:c>
      <x:c r="J5" s="5" t="n">
        <x:v>0.23</x:v>
      </x:c>
      <x:c r="K5" s="4" t="n">
        <x:f>ROUND(H5*I5,2)</x:f>
        <x:v>22.1</x:v>
      </x:c>
      <x:c r="L5" s="4" t="n">
        <x:v>0</x:v>
      </x:c>
      <x:c r="M5" s="4" t="n">
        <x:f>ROUND(K5*J5,2)+L5</x:f>
        <x:v>5.08</x:v>
      </x:c>
      <x:c r="N5" s="4" t="n">
        <x:f>K5+M5</x:f>
        <x:v>27.18</x:v>
      </x:c>
      <x:c r="O5" t="str">
        <x:v>00192259/MAT</x:v>
      </x:c>
      <x:c r="P5" t="str">
        <x:v>Sales confirmation for document 44215(1).pdf</x:v>
      </x:c>
      <x:c r="Q5" s="2" t="n">
        <x:v>1</x:v>
      </x:c>
      <x:c r="R5" t="str">
        <x:v>Запчасть</x:v>
      </x:c>
      <x:c r="S5" t="str"/>
    </x:row>
    <x:row r="6">
      <x:c r="A6" s="1" t="n">
        <x:v>46240</x:v>
      </x:c>
      <x:c r="B6" t="str">
        <x:v>F</x:v>
      </x:c>
      <x:c r="C6" t="str">
        <x:v>00044215/MAT/26/F</x:v>
      </x:c>
      <x:c r="D6" t="str"/>
      <x:c r="E6" s="2" t="n">
        <x:v>3</x:v>
      </x:c>
      <x:c r="F6" t="str">
        <x:v>AP 122/9 Filtr powietrza</x:v>
      </x:c>
      <x:c r="G6" t="str">
        <x:v>FILTRON</x:v>
      </x:c>
      <x:c r="H6" s="3" t="n">
        <x:v>1</x:v>
      </x:c>
      <x:c r="I6" s="4" t="n">
        <x:v>26.98</x:v>
      </x:c>
      <x:c r="J6" s="5" t="n">
        <x:v>0.23</x:v>
      </x:c>
      <x:c r="K6" s="4" t="n">
        <x:f>ROUND(H6*I6,2)</x:f>
        <x:v>26.98</x:v>
      </x:c>
      <x:c r="L6" s="4" t="n">
        <x:v>0</x:v>
      </x:c>
      <x:c r="M6" s="4" t="n">
        <x:f>ROUND(K6*J6,2)+L6</x:f>
        <x:v>6.21</x:v>
      </x:c>
      <x:c r="N6" s="4" t="n">
        <x:f>K6+M6</x:f>
        <x:v>33.19</x:v>
      </x:c>
      <x:c r="O6" t="str">
        <x:v>00192286/MAT</x:v>
      </x:c>
      <x:c r="P6" t="str">
        <x:v>Sales confirmation for document 44215(1).pdf</x:v>
      </x:c>
      <x:c r="Q6" s="2" t="n">
        <x:v>1</x:v>
      </x:c>
      <x:c r="R6" t="str">
        <x:v>Запчасть</x:v>
      </x:c>
      <x:c r="S6" t="str"/>
    </x:row>
    <x:row r="7">
      <x:c r="A7" s="1" t="n">
        <x:v>46240</x:v>
      </x:c>
      <x:c r="B7" t="str">
        <x:v>F</x:v>
      </x:c>
      <x:c r="C7" t="str">
        <x:v>00044215/MAT/26/F</x:v>
      </x:c>
      <x:c r="D7" t="str"/>
      <x:c r="E7" s="2" t="n">
        <x:v>4</x:v>
      </x:c>
      <x:c r="F7" t="str">
        <x:v>H13W01 Filtr oleju</x:v>
      </x:c>
      <x:c r="G7" t="str">
        <x:v>HENGST</x:v>
      </x:c>
      <x:c r="H7" s="3" t="n">
        <x:v>1</x:v>
      </x:c>
      <x:c r="I7" s="4" t="n">
        <x:v>15.02</x:v>
      </x:c>
      <x:c r="J7" s="5" t="n">
        <x:v>0.23</x:v>
      </x:c>
      <x:c r="K7" s="4" t="n">
        <x:f>ROUND(H7*I7,2)</x:f>
        <x:v>15.02</x:v>
      </x:c>
      <x:c r="L7" s="4" t="n">
        <x:v>0</x:v>
      </x:c>
      <x:c r="M7" s="4" t="n">
        <x:f>ROUND(K7*J7,2)+L7</x:f>
        <x:v>3.45</x:v>
      </x:c>
      <x:c r="N7" s="4" t="n">
        <x:f>K7+M7</x:f>
        <x:v>18.47</x:v>
      </x:c>
      <x:c r="O7" t="str">
        <x:v>00192286/MAT</x:v>
      </x:c>
      <x:c r="P7" t="str">
        <x:v>Sales confirmation for document 44215(1).pdf</x:v>
      </x:c>
      <x:c r="Q7" s="2" t="n">
        <x:v>1</x:v>
      </x:c>
      <x:c r="R7" t="str">
        <x:v>Запчасть</x:v>
      </x:c>
      <x:c r="S7" t="str"/>
    </x:row>
    <x:row r="8">
      <x:c r="A8" s="1" t="n">
        <x:v>46240</x:v>
      </x:c>
      <x:c r="B8" t="str">
        <x:v>F</x:v>
      </x:c>
      <x:c r="C8" t="str">
        <x:v>00044215/MAT/26/F</x:v>
      </x:c>
      <x:c r="D8" t="str"/>
      <x:c r="E8" s="2" t="n">
        <x:v>5</x:v>
      </x:c>
      <x:c r="F8" t="str">
        <x:v>EL523500 Śruba spustu miski olejowej</x:v>
      </x:c>
      <x:c r="G8" t="str">
        <x:v>ELRING</x:v>
      </x:c>
      <x:c r="H8" s="3" t="n">
        <x:v>1</x:v>
      </x:c>
      <x:c r="I8" s="4" t="n">
        <x:v>8.62</x:v>
      </x:c>
      <x:c r="J8" s="5" t="n">
        <x:v>0.23</x:v>
      </x:c>
      <x:c r="K8" s="4" t="n">
        <x:f>ROUND(H8*I8,2)</x:f>
        <x:v>8.62</x:v>
      </x:c>
      <x:c r="L8" s="4" t="n">
        <x:v>0</x:v>
      </x:c>
      <x:c r="M8" s="4" t="n">
        <x:f>ROUND(K8*J8,2)+L8</x:f>
        <x:v>1.98</x:v>
      </x:c>
      <x:c r="N8" s="4" t="n">
        <x:f>K8+M8</x:f>
        <x:v>10.6</x:v>
      </x:c>
      <x:c r="O8" t="str">
        <x:v>00192286/MAT</x:v>
      </x:c>
      <x:c r="P8" t="str">
        <x:v>Sales confirmation for document 44215(1).pdf</x:v>
      </x:c>
      <x:c r="Q8" s="2" t="n">
        <x:v>1</x:v>
      </x:c>
      <x:c r="R8" t="str">
        <x:v>Запчасть</x:v>
      </x:c>
      <x:c r="S8" t="str"/>
    </x:row>
    <x:row r="9">
      <x:c r="A9" s="1" t="n">
        <x:v>46240</x:v>
      </x:c>
      <x:c r="B9" t="str">
        <x:v>F</x:v>
      </x:c>
      <x:c r="C9" t="str">
        <x:v>00044215/MAT/26/F</x:v>
      </x:c>
      <x:c r="D9" t="str"/>
      <x:c r="E9" s="2" t="n">
        <x:v>6</x:v>
      </x:c>
      <x:c r="F9" t="str">
        <x:v>BG4116C Tarcza hamulcowa</x:v>
      </x:c>
      <x:c r="G9" t="str">
        <x:v>DELPHI</x:v>
      </x:c>
      <x:c r="H9" s="3" t="n">
        <x:v>1</x:v>
      </x:c>
      <x:c r="I9" s="4" t="n">
        <x:v>195.75</x:v>
      </x:c>
      <x:c r="J9" s="5" t="n">
        <x:v>0.23</x:v>
      </x:c>
      <x:c r="K9" s="4" t="n">
        <x:f>ROUND(H9*I9,2)</x:f>
        <x:v>195.75</x:v>
      </x:c>
      <x:c r="L9" s="4" t="n">
        <x:v>0</x:v>
      </x:c>
      <x:c r="M9" s="4" t="n">
        <x:f>ROUND(K9*J9,2)+L9</x:f>
        <x:v>45.02</x:v>
      </x:c>
      <x:c r="N9" s="4" t="n">
        <x:f>K9+M9</x:f>
        <x:v>240.77</x:v>
      </x:c>
      <x:c r="O9" t="str">
        <x:v>00192259/MAT</x:v>
      </x:c>
      <x:c r="P9" t="str">
        <x:v>Sales confirmation for document 44215(1).pdf</x:v>
      </x:c>
      <x:c r="Q9" s="2" t="n">
        <x:v>1</x:v>
      </x:c>
      <x:c r="R9" t="str">
        <x:v>Запчасть</x:v>
      </x:c>
      <x:c r="S9" t="str"/>
    </x:row>
    <x:row r="10">
      <x:c r="A10" s="1" t="n">
        <x:v>46240</x:v>
      </x:c>
      <x:c r="B10" t="str">
        <x:v>F</x:v>
      </x:c>
      <x:c r="C10" t="str">
        <x:v>00044215/MAT/26/F</x:v>
      </x:c>
      <x:c r="D10" t="str"/>
      <x:c r="E10" s="2" t="n">
        <x:v>7</x:v>
      </x:c>
      <x:c r="F10" t="str">
        <x:v>090508 Preparat do klimatyzacji</x:v>
      </x:c>
      <x:c r="G10" t="str">
        <x:v>MOTIP</x:v>
      </x:c>
      <x:c r="H10" s="3" t="n">
        <x:v>2</x:v>
      </x:c>
      <x:c r="I10" s="4" t="n">
        <x:v>39.07</x:v>
      </x:c>
      <x:c r="J10" s="5" t="n">
        <x:v>0.23</x:v>
      </x:c>
      <x:c r="K10" s="4" t="n">
        <x:f>ROUND(H10*I10,2)</x:f>
        <x:v>78.14</x:v>
      </x:c>
      <x:c r="L10" s="4" t="n">
        <x:v>0</x:v>
      </x:c>
      <x:c r="M10" s="4" t="n">
        <x:f>ROUND(K10*J10,2)+L10</x:f>
        <x:v>17.97</x:v>
      </x:c>
      <x:c r="N10" s="4" t="n">
        <x:f>K10+M10</x:f>
        <x:v>96.11</x:v>
      </x:c>
      <x:c r="O10" t="str">
        <x:v>00192286/MAT</x:v>
      </x:c>
      <x:c r="P10" t="str">
        <x:v>Sales confirmation for document 44215(1).pdf</x:v>
      </x:c>
      <x:c r="Q10" s="2" t="n">
        <x:v>1</x:v>
      </x:c>
      <x:c r="R10" t="str">
        <x:v>Расходник</x:v>
      </x:c>
      <x:c r="S10" t="str">
        <x:v>Автохимия</x:v>
      </x:c>
    </x:row>
    <x:row r="11">
      <x:c r="A11" s="1" t="n">
        <x:v>46240</x:v>
      </x:c>
      <x:c r="B11" t="str">
        <x:v>F</x:v>
      </x:c>
      <x:c r="C11" t="str">
        <x:v>00044215/MAT/26/F</x:v>
      </x:c>
      <x:c r="D11" t="str"/>
      <x:c r="E11" s="2" t="n">
        <x:v>8</x:v>
      </x:c>
      <x:c r="F11" t="str">
        <x:v>MA 19-092 Preparat do odgrzybiania typu "granat"</x:v>
      </x:c>
      <x:c r="G11" t="str">
        <x:v>MOJE AUTO</x:v>
      </x:c>
      <x:c r="H11" s="3" t="n">
        <x:v>2</x:v>
      </x:c>
      <x:c r="I11" s="4" t="n">
        <x:v>17.99</x:v>
      </x:c>
      <x:c r="J11" s="5" t="n">
        <x:v>0.08</x:v>
      </x:c>
      <x:c r="K11" s="4" t="n">
        <x:f>ROUND(H11*I11,2)</x:f>
        <x:v>35.98</x:v>
      </x:c>
      <x:c r="L11" s="4" t="n">
        <x:v>0</x:v>
      </x:c>
      <x:c r="M11" s="4" t="n">
        <x:f>ROUND(K11*J11,2)+L11</x:f>
        <x:v>2.88</x:v>
      </x:c>
      <x:c r="N11" s="4" t="n">
        <x:f>K11+M11</x:f>
        <x:v>38.86</x:v>
      </x:c>
      <x:c r="O11" t="str">
        <x:v>00192266/MAT</x:v>
      </x:c>
      <x:c r="P11" t="str">
        <x:v>Sales confirmation for document 44215(1).pdf</x:v>
      </x:c>
      <x:c r="Q11" s="2" t="n">
        <x:v>2</x:v>
      </x:c>
      <x:c r="R11" t="str">
        <x:v>Расходник</x:v>
      </x:c>
      <x:c r="S11" t="str">
        <x:v>Автохимия</x:v>
      </x:c>
    </x:row>
    <x:row r="12">
      <x:c r="A12" s="1" t="n">
        <x:v>46240</x:v>
      </x:c>
      <x:c r="B12" t="str">
        <x:v>F</x:v>
      </x:c>
      <x:c r="C12" t="str">
        <x:v>00044215/MAT/26/F</x:v>
      </x:c>
      <x:c r="D12" t="str"/>
      <x:c r="E12" s="2" t="n">
        <x:v>9</x:v>
      </x:c>
      <x:c r="F12" t="str">
        <x:v>PUR-PC7038AG Filtr kabiny</x:v>
      </x:c>
      <x:c r="G12" t="str">
        <x:v>PURRO</x:v>
      </x:c>
      <x:c r="H12" s="3" t="n">
        <x:v>1</x:v>
      </x:c>
      <x:c r="I12" s="4" t="n">
        <x:v>29.28</x:v>
      </x:c>
      <x:c r="J12" s="5" t="n">
        <x:v>0.23</x:v>
      </x:c>
      <x:c r="K12" s="4" t="n">
        <x:f>ROUND(H12*I12,2)</x:f>
        <x:v>29.28</x:v>
      </x:c>
      <x:c r="L12" s="4" t="n">
        <x:v>0.01</x:v>
      </x:c>
      <x:c r="M12" s="4" t="n">
        <x:f>ROUND(K12*J12,2)+L12</x:f>
        <x:v>6.74</x:v>
      </x:c>
      <x:c r="N12" s="4" t="n">
        <x:f>K12+M12</x:f>
        <x:v>36.02</x:v>
      </x:c>
      <x:c r="O12" t="str">
        <x:v>00192286/MAT</x:v>
      </x:c>
      <x:c r="P12" t="str">
        <x:v>Sales confirmation for document 44215(1).pdf</x:v>
      </x:c>
      <x:c r="Q12" s="2" t="n">
        <x:v>2</x:v>
      </x:c>
      <x:c r="R12" t="str">
        <x:v>Запчасть</x:v>
      </x:c>
      <x:c r="S12" t="str"/>
    </x:row>
    <x:row r="13">
      <x:c r="A13" s="1" t="n">
        <x:v>46240</x:v>
      </x:c>
      <x:c r="B13" t="str">
        <x:v>F</x:v>
      </x:c>
      <x:c r="C13" t="str">
        <x:v>00044259/MAT/26/F</x:v>
      </x:c>
      <x:c r="D13" t="str"/>
      <x:c r="E13" s="2" t="n">
        <x:v>1</x:v>
      </x:c>
      <x:c r="F13" t="str">
        <x:v>13.0460-2655.2 Klocek hamulcowy kpl.</x:v>
      </x:c>
      <x:c r="G13" t="str">
        <x:v>ATE</x:v>
      </x:c>
      <x:c r="H13" s="3" t="n">
        <x:v>1</x:v>
      </x:c>
      <x:c r="I13" s="4" t="n">
        <x:v>178.71</x:v>
      </x:c>
      <x:c r="J13" s="5" t="n">
        <x:v>0.23</x:v>
      </x:c>
      <x:c r="K13" s="4" t="n">
        <x:f>ROUND(H13*I13,2)</x:f>
        <x:v>178.71</x:v>
      </x:c>
      <x:c r="L13" s="4" t="n">
        <x:v>0</x:v>
      </x:c>
      <x:c r="M13" s="4" t="n">
        <x:f>ROUND(K13*J13,2)+L13</x:f>
        <x:v>41.1</x:v>
      </x:c>
      <x:c r="N13" s="4" t="n">
        <x:f>K13+M13</x:f>
        <x:v>219.81</x:v>
      </x:c>
      <x:c r="O13" t="str">
        <x:v>00192524/MAT</x:v>
      </x:c>
      <x:c r="P13" t="str">
        <x:v>Sales confirmation for document 44259(1).pdf</x:v>
      </x:c>
      <x:c r="Q13" s="2" t="n">
        <x:v>1</x:v>
      </x:c>
      <x:c r="R13" t="str">
        <x:v>Запчасть</x:v>
      </x:c>
      <x:c r="S13" t="str"/>
    </x:row>
    <x:row r="14">
      <x:c r="A14" s="1" t="n">
        <x:v>46240</x:v>
      </x:c>
      <x:c r="B14" t="str">
        <x:v>FK</x:v>
      </x:c>
      <x:c r="C14" t="str">
        <x:v>00011830/MAT/26/FK</x:v>
      </x:c>
      <x:c r="D14" t="str">
        <x:v>00039474/MAT/26/F</x:v>
      </x:c>
      <x:c r="E14" s="2" t="n">
        <x:v>1</x:v>
      </x:c>
      <x:c r="F14" t="str">
        <x:v>#11-0825 Przekładnia kierownicza ze wspomaganiem</x:v>
      </x:c>
      <x:c r="G14" t="str">
        <x:v>ELSTOCK</x:v>
      </x:c>
      <x:c r="H14" s="3" t="n">
        <x:v>-1</x:v>
      </x:c>
      <x:c r="I14" s="4" t="n">
        <x:v>645</x:v>
      </x:c>
      <x:c r="J14" s="5" t="n">
        <x:v>0.23</x:v>
      </x:c>
      <x:c r="K14" s="4" t="n">
        <x:f>ROUND(H14*I14,2)</x:f>
        <x:v>-645</x:v>
      </x:c>
      <x:c r="L14" s="4" t="n">
        <x:v>0</x:v>
      </x:c>
      <x:c r="M14" s="4" t="n">
        <x:f>ROUND(K14*J14,2)+L14</x:f>
        <x:v>-148.35</x:v>
      </x:c>
      <x:c r="N14" s="4" t="n">
        <x:f>K14+M14</x:f>
        <x:v>-793.35</x:v>
      </x:c>
      <x:c r="O14" t="str"/>
      <x:c r="P14" t="str">
        <x:v>Sales confirmation for document 11830(1).pdf</x:v>
      </x:c>
      <x:c r="Q14" s="2" t="n">
        <x:v>1</x:v>
      </x:c>
      <x:c r="R14" t="str">
        <x:v>Запчасть</x:v>
      </x:c>
      <x:c r="S14" t="str"/>
    </x:row>
    <x:row r="15">
      <x:c r="A15" s="1" t="n">
        <x:v>46240</x:v>
      </x:c>
      <x:c r="B15" t="str">
        <x:v>FK</x:v>
      </x:c>
      <x:c r="C15" t="str">
        <x:v>00011845/MAT/26/FK</x:v>
      </x:c>
      <x:c r="D15" t="str">
        <x:v>00036189/MAT/26/F</x:v>
      </x:c>
      <x:c r="E15" s="2" t="n">
        <x:v>1</x:v>
      </x:c>
      <x:c r="F15" t="str">
        <x:v>#STX100004R Alternator</x:v>
      </x:c>
      <x:c r="G15" t="str">
        <x:v>STARDAX</x:v>
      </x:c>
      <x:c r="H15" s="3" t="n">
        <x:v>-1</x:v>
      </x:c>
      <x:c r="I15" s="4" t="n">
        <x:v>90</x:v>
      </x:c>
      <x:c r="J15" s="5" t="n">
        <x:v>0.23</x:v>
      </x:c>
      <x:c r="K15" s="4" t="n">
        <x:f>ROUND(H15*I15,2)</x:f>
        <x:v>-90</x:v>
      </x:c>
      <x:c r="L15" s="4" t="n">
        <x:v>0</x:v>
      </x:c>
      <x:c r="M15" s="4" t="n">
        <x:f>ROUND(K15*J15,2)+L15</x:f>
        <x:v>-20.7</x:v>
      </x:c>
      <x:c r="N15" s="4" t="n">
        <x:f>K15+M15</x:f>
        <x:v>-110.7</x:v>
      </x:c>
      <x:c r="O15" t="str"/>
      <x:c r="P15" t="str">
        <x:v>Sales confirmation for document 11845(1).pdf</x:v>
      </x:c>
      <x:c r="Q15" s="2" t="n">
        <x:v>1</x:v>
      </x:c>
      <x:c r="R15" t="str">
        <x:v>Запчасть</x:v>
      </x:c>
      <x:c r="S15" t="str"/>
    </x:row>
    <x:row r="16">
      <x:c r="A16" s="1" t="n">
        <x:v>46241</x:v>
      </x:c>
      <x:c r="B16" t="str">
        <x:v>F</x:v>
      </x:c>
      <x:c r="C16" t="str">
        <x:v>00044357/MAT/26/F</x:v>
      </x:c>
      <x:c r="D16" t="str"/>
      <x:c r="E16" s="2" t="n">
        <x:v>1</x:v>
      </x:c>
      <x:c r="F16" t="str">
        <x:v>E44H D110 Filtr oleju</x:v>
      </x:c>
      <x:c r="G16" t="str">
        <x:v>HENGST</x:v>
      </x:c>
      <x:c r="H16" s="3" t="n">
        <x:v>1</x:v>
      </x:c>
      <x:c r="I16" s="4" t="n">
        <x:v>16.96</x:v>
      </x:c>
      <x:c r="J16" s="5" t="n">
        <x:v>0.23</x:v>
      </x:c>
      <x:c r="K16" s="4" t="n">
        <x:f>ROUND(H16*I16,2)</x:f>
        <x:v>16.96</x:v>
      </x:c>
      <x:c r="L16" s="4" t="n">
        <x:v>0</x:v>
      </x:c>
      <x:c r="M16" s="4" t="n">
        <x:f>ROUND(K16*J16,2)+L16</x:f>
        <x:v>3.9</x:v>
      </x:c>
      <x:c r="N16" s="4" t="n">
        <x:f>K16+M16</x:f>
        <x:v>20.86</x:v>
      </x:c>
      <x:c r="O16" t="str">
        <x:v>00192845/MAT</x:v>
      </x:c>
      <x:c r="P16" t="str">
        <x:v>Sales confirmation for document 44357(1).pdf</x:v>
      </x:c>
      <x:c r="Q16" s="2" t="n">
        <x:v>1</x:v>
      </x:c>
      <x:c r="R16" t="str">
        <x:v>Запчасть</x:v>
      </x:c>
      <x:c r="S16" t="str"/>
    </x:row>
    <x:row r="17">
      <x:c r="A17" s="1" t="n">
        <x:v>46241</x:v>
      </x:c>
      <x:c r="B17" t="str">
        <x:v>F</x:v>
      </x:c>
      <x:c r="C17" t="str">
        <x:v>00044357/MAT/26/F</x:v>
      </x:c>
      <x:c r="D17" t="str"/>
      <x:c r="E17" s="2" t="n">
        <x:v>2</x:v>
      </x:c>
      <x:c r="F17" t="str">
        <x:v>VAL813148 Kompresor klimatyzacji</x:v>
      </x:c>
      <x:c r="G17" t="str">
        <x:v>VALEO</x:v>
      </x:c>
      <x:c r="H17" s="3" t="n">
        <x:v>1</x:v>
      </x:c>
      <x:c r="I17" s="4" t="n">
        <x:v>790.25</x:v>
      </x:c>
      <x:c r="J17" s="5" t="n">
        <x:v>0.23</x:v>
      </x:c>
      <x:c r="K17" s="4" t="n">
        <x:f>ROUND(H17*I17,2)</x:f>
        <x:v>790.25</x:v>
      </x:c>
      <x:c r="L17" s="4" t="n">
        <x:v>0</x:v>
      </x:c>
      <x:c r="M17" s="4" t="n">
        <x:f>ROUND(K17*J17,2)+L17</x:f>
        <x:v>181.76</x:v>
      </x:c>
      <x:c r="N17" s="4" t="n">
        <x:f>K17+M17</x:f>
        <x:v>972.01</x:v>
      </x:c>
      <x:c r="O17" t="str">
        <x:v>00193164/MAT</x:v>
      </x:c>
      <x:c r="P17" t="str">
        <x:v>Sales confirmation for document 44357(1).pdf</x:v>
      </x:c>
      <x:c r="Q17" s="2" t="n">
        <x:v>1</x:v>
      </x:c>
      <x:c r="R17" t="str">
        <x:v>Запчасть</x:v>
      </x:c>
      <x:c r="S17" t="str"/>
    </x:row>
    <x:row r="18">
      <x:c r="A18" s="1" t="n">
        <x:v>46241</x:v>
      </x:c>
      <x:c r="B18" t="str">
        <x:v>F</x:v>
      </x:c>
      <x:c r="C18" t="str">
        <x:v>00044357/MAT/26/F</x:v>
      </x:c>
      <x:c r="D18" t="str"/>
      <x:c r="E18" s="2" t="n">
        <x:v>3</x:v>
      </x:c>
      <x:c r="F18" t="str">
        <x:v>SYNPOWER ENVC2/C3 5W30 1L Olej silnikowy</x:v>
      </x:c>
      <x:c r="G18" t="str">
        <x:v>VALVOLINE</x:v>
      </x:c>
      <x:c r="H18" s="3" t="n">
        <x:v>1</x:v>
      </x:c>
      <x:c r="I18" s="4" t="n">
        <x:v>42.9</x:v>
      </x:c>
      <x:c r="J18" s="5" t="n">
        <x:v>0.23</x:v>
      </x:c>
      <x:c r="K18" s="4" t="n">
        <x:f>ROUND(H18*I18,2)</x:f>
        <x:v>42.9</x:v>
      </x:c>
      <x:c r="L18" s="4" t="n">
        <x:v>0</x:v>
      </x:c>
      <x:c r="M18" s="4" t="n">
        <x:f>ROUND(K18*J18,2)+L18</x:f>
        <x:v>9.87</x:v>
      </x:c>
      <x:c r="N18" s="4" t="n">
        <x:f>K18+M18</x:f>
        <x:v>52.769999999999996</x:v>
      </x:c>
      <x:c r="O18" t="str">
        <x:v>00192845/MAT</x:v>
      </x:c>
      <x:c r="P18" t="str">
        <x:v>Sales confirmation for document 44357(1).pdf</x:v>
      </x:c>
      <x:c r="Q18" s="2" t="n">
        <x:v>1</x:v>
      </x:c>
      <x:c r="R18" t="str">
        <x:v>Расходник</x:v>
      </x:c>
      <x:c r="S18" t="str">
        <x:v>Моторное масло</x:v>
      </x:c>
    </x:row>
    <x:row r="19">
      <x:c r="A19" s="1" t="n">
        <x:v>46241</x:v>
      </x:c>
      <x:c r="B19" t="str">
        <x:v>F</x:v>
      </x:c>
      <x:c r="C19" t="str">
        <x:v>00044357/MAT/26/F</x:v>
      </x:c>
      <x:c r="D19" t="str"/>
      <x:c r="E19" s="2" t="n">
        <x:v>4</x:v>
      </x:c>
      <x:c r="F19" t="str">
        <x:v>SYNPOWER ENVC2/C3 5W30 5L Olej silnikowy</x:v>
      </x:c>
      <x:c r="G19" t="str">
        <x:v>VALVOLINE</x:v>
      </x:c>
      <x:c r="H19" s="3" t="n">
        <x:v>1</x:v>
      </x:c>
      <x:c r="I19" s="4" t="n">
        <x:v>184.52</x:v>
      </x:c>
      <x:c r="J19" s="5" t="n">
        <x:v>0.23</x:v>
      </x:c>
      <x:c r="K19" s="4" t="n">
        <x:f>ROUND(H19*I19,2)</x:f>
        <x:v>184.52</x:v>
      </x:c>
      <x:c r="L19" s="4" t="n">
        <x:v>-0.01</x:v>
      </x:c>
      <x:c r="M19" s="4" t="n">
        <x:f>ROUND(K19*J19,2)+L19</x:f>
        <x:v>42.43</x:v>
      </x:c>
      <x:c r="N19" s="4" t="n">
        <x:f>K19+M19</x:f>
        <x:v>226.95000000000002</x:v>
      </x:c>
      <x:c r="O19" t="str">
        <x:v>00192845/MAT</x:v>
      </x:c>
      <x:c r="P19" t="str">
        <x:v>Sales confirmation for document 44357(1).pdf</x:v>
      </x:c>
      <x:c r="Q19" s="2" t="n">
        <x:v>1</x:v>
      </x:c>
      <x:c r="R19" t="str">
        <x:v>Расходник</x:v>
      </x:c>
      <x:c r="S19" t="str">
        <x:v>Моторное масло</x:v>
      </x:c>
    </x:row>
    <x:row r="20">
      <x:c r="A20" s="1" t="n">
        <x:v>46241</x:v>
      </x:c>
      <x:c r="B20" t="str">
        <x:v>F</x:v>
      </x:c>
      <x:c r="C20" t="str">
        <x:v>00044463/MAT/26/F</x:v>
      </x:c>
      <x:c r="D20" t="str"/>
      <x:c r="E20" s="2" t="n">
        <x:v>1</x:v>
      </x:c>
      <x:c r="F20" t="str">
        <x:v>K 1111A Filtr kabiny</x:v>
      </x:c>
      <x:c r="G20" t="str">
        <x:v>FILTRON</x:v>
      </x:c>
      <x:c r="H20" s="3" t="n">
        <x:v>1</x:v>
      </x:c>
      <x:c r="I20" s="4" t="n">
        <x:v>26.22</x:v>
      </x:c>
      <x:c r="J20" s="5" t="n">
        <x:v>0.23</x:v>
      </x:c>
      <x:c r="K20" s="4" t="n">
        <x:f>ROUND(H20*I20,2)</x:f>
        <x:v>26.22</x:v>
      </x:c>
      <x:c r="L20" s="4" t="n">
        <x:v>0</x:v>
      </x:c>
      <x:c r="M20" s="4" t="n">
        <x:f>ROUND(K20*J20,2)+L20</x:f>
        <x:v>6.03</x:v>
      </x:c>
      <x:c r="N20" s="4" t="n">
        <x:f>K20+M20</x:f>
        <x:v>32.25</x:v>
      </x:c>
      <x:c r="O20" t="str">
        <x:v>00193656/MAT</x:v>
      </x:c>
      <x:c r="P20" t="str">
        <x:v>Sales confirmation for document 44463(1).pdf</x:v>
      </x:c>
      <x:c r="Q20" s="2" t="n">
        <x:v>1</x:v>
      </x:c>
      <x:c r="R20" t="str">
        <x:v>Запчасть</x:v>
      </x:c>
      <x:c r="S20" t="str"/>
    </x:row>
    <x:row r="21">
      <x:c r="A21" s="1" t="n">
        <x:v>46241</x:v>
      </x:c>
      <x:c r="B21" t="str">
        <x:v>F</x:v>
      </x:c>
      <x:c r="C21" t="str">
        <x:v>00044516/MAT/26/F</x:v>
      </x:c>
      <x:c r="D21" t="str"/>
      <x:c r="E21" s="2" t="n">
        <x:v>1</x:v>
      </x:c>
      <x:c r="F21" t="str">
        <x:v>TM8600226 Kompresor klimatyzacji</x:v>
      </x:c>
      <x:c r="G21" t="str">
        <x:v>TEAMEC</x:v>
      </x:c>
      <x:c r="H21" s="3" t="n">
        <x:v>1</x:v>
      </x:c>
      <x:c r="I21" s="4" t="n">
        <x:v>869.84</x:v>
      </x:c>
      <x:c r="J21" s="5" t="n">
        <x:v>0.23</x:v>
      </x:c>
      <x:c r="K21" s="4" t="n">
        <x:f>ROUND(H21*I21,2)</x:f>
        <x:v>869.84</x:v>
      </x:c>
      <x:c r="L21" s="4" t="n">
        <x:v>0</x:v>
      </x:c>
      <x:c r="M21" s="4" t="n">
        <x:f>ROUND(K21*J21,2)+L21</x:f>
        <x:v>200.06</x:v>
      </x:c>
      <x:c r="N21" s="4" t="n">
        <x:f>K21+M21</x:f>
        <x:v>1069.9</x:v>
      </x:c>
      <x:c r="O21" t="str">
        <x:v>00193806/MAT</x:v>
      </x:c>
      <x:c r="P21" t="str">
        <x:v>Sales confirmation for document 44516(1).pdf</x:v>
      </x:c>
      <x:c r="Q21" s="2" t="n">
        <x:v>1</x:v>
      </x:c>
      <x:c r="R21" t="str">
        <x:v>Запчасть</x:v>
      </x:c>
      <x:c r="S21" t="str"/>
    </x:row>
    <x:row r="22">
      <x:c r="A22" s="1" t="n">
        <x:v>46241</x:v>
      </x:c>
      <x:c r="B22" t="str">
        <x:v>FK</x:v>
      </x:c>
      <x:c r="C22" t="str">
        <x:v>00011944/MAT/26/FK</x:v>
      </x:c>
      <x:c r="D22" t="str">
        <x:v>00044357/MAT/26/F</x:v>
      </x:c>
      <x:c r="E22" s="2" t="n">
        <x:v>1</x:v>
      </x:c>
      <x:c r="F22" t="str">
        <x:v>VAL813148 Kompresor klimatyzacji</x:v>
      </x:c>
      <x:c r="G22" t="str">
        <x:v>VALEO</x:v>
      </x:c>
      <x:c r="H22" s="3" t="n">
        <x:v>-1</x:v>
      </x:c>
      <x:c r="I22" s="4" t="n">
        <x:v>790.25</x:v>
      </x:c>
      <x:c r="J22" s="5" t="n">
        <x:v>0.23</x:v>
      </x:c>
      <x:c r="K22" s="4" t="n">
        <x:f>ROUND(H22*I22,2)</x:f>
        <x:v>-790.25</x:v>
      </x:c>
      <x:c r="L22" s="4" t="n">
        <x:v>0</x:v>
      </x:c>
      <x:c r="M22" s="4" t="n">
        <x:f>ROUND(K22*J22,2)+L22</x:f>
        <x:v>-181.76</x:v>
      </x:c>
      <x:c r="N22" s="4" t="n">
        <x:f>K22+M22</x:f>
        <x:v>-972.01</x:v>
      </x:c>
      <x:c r="O22" t="str"/>
      <x:c r="P22" t="str">
        <x:v>Sales confirmation for document 11944(1).pdf</x:v>
      </x:c>
      <x:c r="Q22" s="2" t="n">
        <x:v>1</x:v>
      </x:c>
      <x:c r="R22" t="str">
        <x:v>Запчасть</x:v>
      </x:c>
      <x:c r="S22" t="str"/>
    </x:row>
    <x:row r="23">
      <x:c r="A23" s="1" t="n">
        <x:v>46244</x:v>
      </x:c>
      <x:c r="B23" t="str">
        <x:v>F</x:v>
      </x:c>
      <x:c r="C23" t="str">
        <x:v>00044771/MAT/26/F</x:v>
      </x:c>
      <x:c r="D23" t="str"/>
      <x:c r="E23" s="2" t="n">
        <x:v>1</x:v>
      </x:c>
      <x:c r="F23" t="str">
        <x:v>AP 142/2 Filtr powietrza</x:v>
      </x:c>
      <x:c r="G23" t="str">
        <x:v>FILTRON</x:v>
      </x:c>
      <x:c r="H23" s="3" t="n">
        <x:v>1</x:v>
      </x:c>
      <x:c r="I23" s="4" t="n">
        <x:v>18.8</x:v>
      </x:c>
      <x:c r="J23" s="5" t="n">
        <x:v>0.23</x:v>
      </x:c>
      <x:c r="K23" s="4" t="n">
        <x:f>ROUND(H23*I23,2)</x:f>
        <x:v>18.8</x:v>
      </x:c>
      <x:c r="L23" s="4" t="n">
        <x:v>0</x:v>
      </x:c>
      <x:c r="M23" s="4" t="n">
        <x:f>ROUND(K23*J23,2)+L23</x:f>
        <x:v>4.32</x:v>
      </x:c>
      <x:c r="N23" s="4" t="n">
        <x:f>K23+M23</x:f>
        <x:v>23.12</x:v>
      </x:c>
      <x:c r="O23" t="str">
        <x:v>00187756/MAT</x:v>
      </x:c>
      <x:c r="P23" t="str">
        <x:v>Sales confirmation for document 44771(1).pdf</x:v>
      </x:c>
      <x:c r="Q23" s="2" t="n">
        <x:v>1</x:v>
      </x:c>
      <x:c r="R23" t="str">
        <x:v>Запчасть</x:v>
      </x:c>
      <x:c r="S23" t="str"/>
    </x:row>
    <x:row r="24">
      <x:c r="A24" s="1" t="n">
        <x:v>46244</x:v>
      </x:c>
      <x:c r="B24" t="str">
        <x:v>F</x:v>
      </x:c>
      <x:c r="C24" t="str">
        <x:v>00044771/MAT/26/F</x:v>
      </x:c>
      <x:c r="D24" t="str"/>
      <x:c r="E24" s="2" t="n">
        <x:v>2</x:v>
      </x:c>
      <x:c r="F24" t="str">
        <x:v>MA 20-A32 1L Preparat do silnika</x:v>
      </x:c>
      <x:c r="G24" t="str">
        <x:v>MA</x:v>
      </x:c>
      <x:c r="H24" s="3" t="n">
        <x:v>1</x:v>
      </x:c>
      <x:c r="I24" s="4" t="n">
        <x:v>15.95</x:v>
      </x:c>
      <x:c r="J24" s="5" t="n">
        <x:v>0.23</x:v>
      </x:c>
      <x:c r="K24" s="4" t="n">
        <x:f>ROUND(H24*I24,2)</x:f>
        <x:v>15.95</x:v>
      </x:c>
      <x:c r="L24" s="4" t="n">
        <x:v>0</x:v>
      </x:c>
      <x:c r="M24" s="4" t="n">
        <x:f>ROUND(K24*J24,2)+L24</x:f>
        <x:v>3.67</x:v>
      </x:c>
      <x:c r="N24" s="4" t="n">
        <x:f>K24+M24</x:f>
        <x:v>19.619999999999997</x:v>
      </x:c>
      <x:c r="O24" t="str">
        <x:v>00188346/MAT</x:v>
      </x:c>
      <x:c r="P24" t="str">
        <x:v>Sales confirmation for document 44771(1).pdf</x:v>
      </x:c>
      <x:c r="Q24" s="2" t="n">
        <x:v>1</x:v>
      </x:c>
      <x:c r="R24" t="str">
        <x:v>Расходник</x:v>
      </x:c>
      <x:c r="S24" t="str">
        <x:v>Автохимия</x:v>
      </x:c>
    </x:row>
    <x:row r="25">
      <x:c r="A25" s="1" t="n">
        <x:v>46244</x:v>
      </x:c>
      <x:c r="B25" t="str">
        <x:v>F</x:v>
      </x:c>
      <x:c r="C25" t="str">
        <x:v>00044771/MAT/26/F</x:v>
      </x:c>
      <x:c r="D25" t="str"/>
      <x:c r="E25" s="2" t="n">
        <x:v>3</x:v>
      </x:c>
      <x:c r="F25" t="str">
        <x:v>SEA BCF120 Komplet bezpieczników</x:v>
      </x:c>
      <x:c r="G25" t="str">
        <x:v>SEALEY</x:v>
      </x:c>
      <x:c r="H25" s="3" t="n">
        <x:v>1</x:v>
      </x:c>
      <x:c r="I25" s="4" t="n">
        <x:v>58.37</x:v>
      </x:c>
      <x:c r="J25" s="5" t="n">
        <x:v>0.23</x:v>
      </x:c>
      <x:c r="K25" s="4" t="n">
        <x:f>ROUND(H25*I25,2)</x:f>
        <x:v>58.37</x:v>
      </x:c>
      <x:c r="L25" s="4" t="n">
        <x:v>0</x:v>
      </x:c>
      <x:c r="M25" s="4" t="n">
        <x:f>ROUND(K25*J25,2)+L25</x:f>
        <x:v>13.43</x:v>
      </x:c>
      <x:c r="N25" s="4" t="n">
        <x:f>K25+M25</x:f>
        <x:v>71.8</x:v>
      </x:c>
      <x:c r="O25" t="str">
        <x:v>00189128/MAT</x:v>
      </x:c>
      <x:c r="P25" t="str">
        <x:v>Sales confirmation for document 44771(1).pdf</x:v>
      </x:c>
      <x:c r="Q25" s="2" t="n">
        <x:v>1</x:v>
      </x:c>
      <x:c r="R25" t="str">
        <x:v>Запчасть</x:v>
      </x:c>
      <x:c r="S25" t="str"/>
    </x:row>
    <x:row r="26">
      <x:c r="A26" s="1" t="n">
        <x:v>46244</x:v>
      </x:c>
      <x:c r="B26" t="str">
        <x:v>F</x:v>
      </x:c>
      <x:c r="C26" t="str">
        <x:v>00044771/MAT/26/F</x:v>
      </x:c>
      <x:c r="D26" t="str"/>
      <x:c r="E26" s="2" t="n">
        <x:v>4</x:v>
      </x:c>
      <x:c r="F26" t="str">
        <x:v>M-SUP 3000 XE 5W30 4L Olej silnikowy</x:v>
      </x:c>
      <x:c r="G26" t="str">
        <x:v>MOBIL</x:v>
      </x:c>
      <x:c r="H26" s="3" t="n">
        <x:v>1</x:v>
      </x:c>
      <x:c r="I26" s="4" t="n">
        <x:v>119.54</x:v>
      </x:c>
      <x:c r="J26" s="5" t="n">
        <x:v>0.23</x:v>
      </x:c>
      <x:c r="K26" s="4" t="n">
        <x:f>ROUND(H26*I26,2)</x:f>
        <x:v>119.54</x:v>
      </x:c>
      <x:c r="L26" s="4" t="n">
        <x:v>0</x:v>
      </x:c>
      <x:c r="M26" s="4" t="n">
        <x:f>ROUND(K26*J26,2)+L26</x:f>
        <x:v>27.49</x:v>
      </x:c>
      <x:c r="N26" s="4" t="n">
        <x:f>K26+M26</x:f>
        <x:v>147.03</x:v>
      </x:c>
      <x:c r="O26" t="str">
        <x:v>00187756/MAT</x:v>
      </x:c>
      <x:c r="P26" t="str">
        <x:v>Sales confirmation for document 44771(1).pdf</x:v>
      </x:c>
      <x:c r="Q26" s="2" t="n">
        <x:v>1</x:v>
      </x:c>
      <x:c r="R26" t="str">
        <x:v>Расходник</x:v>
      </x:c>
      <x:c r="S26" t="str">
        <x:v>Моторное масло</x:v>
      </x:c>
    </x:row>
    <x:row r="27">
      <x:c r="A27" s="1" t="n">
        <x:v>46244</x:v>
      </x:c>
      <x:c r="B27" t="str">
        <x:v>F</x:v>
      </x:c>
      <x:c r="C27" t="str">
        <x:v>00044771/MAT/26/F</x:v>
      </x:c>
      <x:c r="D27" t="str"/>
      <x:c r="E27" s="2" t="n">
        <x:v>5</x:v>
      </x:c>
      <x:c r="F27" t="str">
        <x:v>OE 685/3 Filtr oleju</x:v>
      </x:c>
      <x:c r="G27" t="str">
        <x:v>FILTRON</x:v>
      </x:c>
      <x:c r="H27" s="3" t="n">
        <x:v>1</x:v>
      </x:c>
      <x:c r="I27" s="4" t="n">
        <x:v>11.13</x:v>
      </x:c>
      <x:c r="J27" s="5" t="n">
        <x:v>0.23</x:v>
      </x:c>
      <x:c r="K27" s="4" t="n">
        <x:f>ROUND(H27*I27,2)</x:f>
        <x:v>11.13</x:v>
      </x:c>
      <x:c r="L27" s="4" t="n">
        <x:v>0</x:v>
      </x:c>
      <x:c r="M27" s="4" t="n">
        <x:f>ROUND(K27*J27,2)+L27</x:f>
        <x:v>2.56</x:v>
      </x:c>
      <x:c r="N27" s="4" t="n">
        <x:f>K27+M27</x:f>
        <x:v>13.690000000000001</x:v>
      </x:c>
      <x:c r="O27" t="str">
        <x:v>00187756/MAT</x:v>
      </x:c>
      <x:c r="P27" t="str">
        <x:v>Sales confirmation for document 44771(1).pdf</x:v>
      </x:c>
      <x:c r="Q27" s="2" t="n">
        <x:v>1</x:v>
      </x:c>
      <x:c r="R27" t="str">
        <x:v>Запчасть</x:v>
      </x:c>
      <x:c r="S27" t="str"/>
    </x:row>
    <x:row r="28">
      <x:c r="A28" s="1" t="n">
        <x:v>46244</x:v>
      </x:c>
      <x:c r="B28" t="str">
        <x:v>F</x:v>
      </x:c>
      <x:c r="C28" t="str">
        <x:v>00044771/MAT/26/F</x:v>
      </x:c>
      <x:c r="D28" t="str"/>
      <x:c r="E28" s="2" t="n">
        <x:v>6</x:v>
      </x:c>
      <x:c r="F28" t="str">
        <x:v>MA 20-A25 Preparat do wykrywania nieszczelności</x:v>
      </x:c>
      <x:c r="G28" t="str">
        <x:v>MA</x:v>
      </x:c>
      <x:c r="H28" s="3" t="n">
        <x:v>1</x:v>
      </x:c>
      <x:c r="I28" s="4" t="n">
        <x:v>24.93</x:v>
      </x:c>
      <x:c r="J28" s="5" t="n">
        <x:v>0.23</x:v>
      </x:c>
      <x:c r="K28" s="4" t="n">
        <x:f>ROUND(H28*I28,2)</x:f>
        <x:v>24.93</x:v>
      </x:c>
      <x:c r="L28" s="4" t="n">
        <x:v>0</x:v>
      </x:c>
      <x:c r="M28" s="4" t="n">
        <x:f>ROUND(K28*J28,2)+L28</x:f>
        <x:v>5.73</x:v>
      </x:c>
      <x:c r="N28" s="4" t="n">
        <x:f>K28+M28</x:f>
        <x:v>30.66</x:v>
      </x:c>
      <x:c r="O28" t="str">
        <x:v>00188346/MAT</x:v>
      </x:c>
      <x:c r="P28" t="str">
        <x:v>Sales confirmation for document 44771(1).pdf</x:v>
      </x:c>
      <x:c r="Q28" s="2" t="n">
        <x:v>1</x:v>
      </x:c>
      <x:c r="R28" t="str">
        <x:v>Расходник</x:v>
      </x:c>
      <x:c r="S28" t="str">
        <x:v>Автохимия</x:v>
      </x:c>
    </x:row>
    <x:row r="29">
      <x:c r="A29" s="1" t="n">
        <x:v>46244</x:v>
      </x:c>
      <x:c r="B29" t="str">
        <x:v>F</x:v>
      </x:c>
      <x:c r="C29" t="str">
        <x:v>00044771/MAT/26/F</x:v>
      </x:c>
      <x:c r="D29" t="str"/>
      <x:c r="E29" s="2" t="n">
        <x:v>7</x:v>
      </x:c>
      <x:c r="F29" t="str">
        <x:v>NRF 38953 Włącznik ciśnieniowy klimatyzacji</x:v>
      </x:c>
      <x:c r="G29" t="str">
        <x:v>NRF</x:v>
      </x:c>
      <x:c r="H29" s="3" t="n">
        <x:v>1</x:v>
      </x:c>
      <x:c r="I29" s="4" t="n">
        <x:v>56.11</x:v>
      </x:c>
      <x:c r="J29" s="5" t="n">
        <x:v>0.23</x:v>
      </x:c>
      <x:c r="K29" s="4" t="n">
        <x:f>ROUND(H29*I29,2)</x:f>
        <x:v>56.11</x:v>
      </x:c>
      <x:c r="L29" s="4" t="n">
        <x:v>0</x:v>
      </x:c>
      <x:c r="M29" s="4" t="n">
        <x:f>ROUND(K29*J29,2)+L29</x:f>
        <x:v>12.91</x:v>
      </x:c>
      <x:c r="N29" s="4" t="n">
        <x:f>K29+M29</x:f>
        <x:v>69.02</x:v>
      </x:c>
      <x:c r="O29" t="str">
        <x:v>00188447/MAT</x:v>
      </x:c>
      <x:c r="P29" t="str">
        <x:v>Sales confirmation for document 44771(1).pdf</x:v>
      </x:c>
      <x:c r="Q29" s="2" t="n">
        <x:v>2</x:v>
      </x:c>
      <x:c r="R29" t="str">
        <x:v>Запчасть</x:v>
      </x:c>
      <x:c r="S29" t="str"/>
    </x:row>
    <x:row r="30">
      <x:c r="A30" s="1" t="n">
        <x:v>46244</x:v>
      </x:c>
      <x:c r="B30" t="str">
        <x:v>F</x:v>
      </x:c>
      <x:c r="C30" t="str">
        <x:v>00044771/MAT/26/F</x:v>
      </x:c>
      <x:c r="D30" t="str"/>
      <x:c r="E30" s="2" t="n">
        <x:v>8</x:v>
      </x:c>
      <x:c r="F30" t="str">
        <x:v>E818H D238 Filtr oleju</x:v>
      </x:c>
      <x:c r="G30" t="str">
        <x:v>HENGST</x:v>
      </x:c>
      <x:c r="H30" s="3" t="n">
        <x:v>1</x:v>
      </x:c>
      <x:c r="I30" s="4" t="n">
        <x:v>26.02</x:v>
      </x:c>
      <x:c r="J30" s="5" t="n">
        <x:v>0.23</x:v>
      </x:c>
      <x:c r="K30" s="4" t="n">
        <x:f>ROUND(H30*I30,2)</x:f>
        <x:v>26.02</x:v>
      </x:c>
      <x:c r="L30" s="4" t="n">
        <x:v>0</x:v>
      </x:c>
      <x:c r="M30" s="4" t="n">
        <x:f>ROUND(K30*J30,2)+L30</x:f>
        <x:v>5.98</x:v>
      </x:c>
      <x:c r="N30" s="4" t="n">
        <x:f>K30+M30</x:f>
        <x:v>32</x:v>
      </x:c>
      <x:c r="O30" t="str">
        <x:v>00193651/MAT</x:v>
      </x:c>
      <x:c r="P30" t="str">
        <x:v>Sales confirmation for document 44771(1).pdf</x:v>
      </x:c>
      <x:c r="Q30" s="2" t="n">
        <x:v>2</x:v>
      </x:c>
      <x:c r="R30" t="str">
        <x:v>Запчасть</x:v>
      </x:c>
      <x:c r="S30" t="str"/>
    </x:row>
    <x:row r="31">
      <x:c r="A31" s="1" t="n">
        <x:v>46244</x:v>
      </x:c>
      <x:c r="B31" t="str">
        <x:v>F</x:v>
      </x:c>
      <x:c r="C31" t="str">
        <x:v>00044771/MAT/26/F</x:v>
      </x:c>
      <x:c r="D31" t="str"/>
      <x:c r="E31" s="2" t="n">
        <x:v>9</x:v>
      </x:c>
      <x:c r="F31" t="str">
        <x:v>100 955 0006 Pompka spryskiwacza</x:v>
      </x:c>
      <x:c r="G31" t="str">
        <x:v>MEYLE</x:v>
      </x:c>
      <x:c r="H31" s="3" t="n">
        <x:v>1</x:v>
      </x:c>
      <x:c r="I31" s="4" t="n">
        <x:v>20.61</x:v>
      </x:c>
      <x:c r="J31" s="5" t="n">
        <x:v>0.23</x:v>
      </x:c>
      <x:c r="K31" s="4" t="n">
        <x:f>ROUND(H31*I31,2)</x:f>
        <x:v>20.61</x:v>
      </x:c>
      <x:c r="L31" s="4" t="n">
        <x:v>0</x:v>
      </x:c>
      <x:c r="M31" s="4" t="n">
        <x:f>ROUND(K31*J31,2)+L31</x:f>
        <x:v>4.74</x:v>
      </x:c>
      <x:c r="N31" s="4" t="n">
        <x:f>K31+M31</x:f>
        <x:v>25.35</x:v>
      </x:c>
      <x:c r="O31" t="str">
        <x:v>00188494/MAT</x:v>
      </x:c>
      <x:c r="P31" t="str">
        <x:v>Sales confirmation for document 44771(1).pdf</x:v>
      </x:c>
      <x:c r="Q31" s="2" t="n">
        <x:v>2</x:v>
      </x:c>
      <x:c r="R31" t="str">
        <x:v>Запчасть</x:v>
      </x:c>
      <x:c r="S31" t="str"/>
    </x:row>
    <x:row r="32">
      <x:c r="A32" s="1" t="n">
        <x:v>46244</x:v>
      </x:c>
      <x:c r="B32" t="str">
        <x:v>F</x:v>
      </x:c>
      <x:c r="C32" t="str">
        <x:v>00044771/MAT/26/F</x:v>
      </x:c>
      <x:c r="D32" t="str"/>
      <x:c r="E32" s="2" t="n">
        <x:v>10</x:v>
      </x:c>
      <x:c r="F32" t="str">
        <x:v>51868148 Ramię wycieraczki/osłona</x:v>
      </x:c>
      <x:c r="G32" t="str">
        <x:v>OE FIAT</x:v>
      </x:c>
      <x:c r="H32" s="3" t="n">
        <x:v>1</x:v>
      </x:c>
      <x:c r="I32" s="4" t="n">
        <x:v>135.46</x:v>
      </x:c>
      <x:c r="J32" s="5" t="n">
        <x:v>0.23</x:v>
      </x:c>
      <x:c r="K32" s="4" t="n">
        <x:f>ROUND(H32*I32,2)</x:f>
        <x:v>135.46</x:v>
      </x:c>
      <x:c r="L32" s="4" t="n">
        <x:v>0</x:v>
      </x:c>
      <x:c r="M32" s="4" t="n">
        <x:f>ROUND(K32*J32,2)+L32</x:f>
        <x:v>31.16</x:v>
      </x:c>
      <x:c r="N32" s="4" t="n">
        <x:f>K32+M32</x:f>
        <x:v>166.62</x:v>
      </x:c>
      <x:c r="O32" t="str">
        <x:v>00189220/MAT</x:v>
      </x:c>
      <x:c r="P32" t="str">
        <x:v>Sales confirmation for document 44771(1).pdf</x:v>
      </x:c>
      <x:c r="Q32" s="2" t="n">
        <x:v>2</x:v>
      </x:c>
      <x:c r="R32" t="str">
        <x:v>Запчасть</x:v>
      </x:c>
      <x:c r="S32" t="str"/>
    </x:row>
    <x:row r="33">
      <x:c r="A33" s="1" t="n">
        <x:v>46244</x:v>
      </x:c>
      <x:c r="B33" t="str">
        <x:v>F</x:v>
      </x:c>
      <x:c r="C33" t="str">
        <x:v>00044771/MAT/26/F</x:v>
      </x:c>
      <x:c r="D33" t="str"/>
      <x:c r="E33" s="2" t="n">
        <x:v>11</x:v>
      </x:c>
      <x:c r="F33" t="str">
        <x:v>CCH9412 Świeca zapłonowa</x:v>
      </x:c>
      <x:c r="G33" t="str">
        <x:v>CHAMPION</x:v>
      </x:c>
      <x:c r="H33" s="3" t="n">
        <x:v>4</x:v>
      </x:c>
      <x:c r="I33" s="4" t="n">
        <x:v>32.53</x:v>
      </x:c>
      <x:c r="J33" s="5" t="n">
        <x:v>0.23</x:v>
      </x:c>
      <x:c r="K33" s="4" t="n">
        <x:f>ROUND(H33*I33,2)</x:f>
        <x:v>130.12</x:v>
      </x:c>
      <x:c r="L33" s="4" t="n">
        <x:v>0</x:v>
      </x:c>
      <x:c r="M33" s="4" t="n">
        <x:f>ROUND(K33*J33,2)+L33</x:f>
        <x:v>29.93</x:v>
      </x:c>
      <x:c r="N33" s="4" t="n">
        <x:f>K33+M33</x:f>
        <x:v>160.05</x:v>
      </x:c>
      <x:c r="O33" t="str">
        <x:v>00187756/MAT</x:v>
      </x:c>
      <x:c r="P33" t="str">
        <x:v>Sales confirmation for document 44771(1).pdf</x:v>
      </x:c>
      <x:c r="Q33" s="2" t="n">
        <x:v>2</x:v>
      </x:c>
      <x:c r="R33" t="str">
        <x:v>Запчасть</x:v>
      </x:c>
      <x:c r="S33" t="str"/>
    </x:row>
    <x:row r="34">
      <x:c r="A34" s="1" t="n">
        <x:v>46244</x:v>
      </x:c>
      <x:c r="B34" t="str">
        <x:v>F</x:v>
      </x:c>
      <x:c r="C34" t="str">
        <x:v>00044771/MAT/26/F</x:v>
      </x:c>
      <x:c r="D34" t="str"/>
      <x:c r="E34" s="2" t="n">
        <x:v>12</x:v>
      </x:c>
      <x:c r="F34" t="str">
        <x:v>MA 20-A06 Zmywacz do hamulców</x:v>
      </x:c>
      <x:c r="G34" t="str">
        <x:v>MA</x:v>
      </x:c>
      <x:c r="H34" s="3" t="n">
        <x:v>1</x:v>
      </x:c>
      <x:c r="I34" s="4" t="n">
        <x:v>71.7</x:v>
      </x:c>
      <x:c r="J34" s="5" t="n">
        <x:v>0.23</x:v>
      </x:c>
      <x:c r="K34" s="4" t="n">
        <x:f>ROUND(H34*I34,2)</x:f>
        <x:v>71.7</x:v>
      </x:c>
      <x:c r="L34" s="4" t="n">
        <x:v>0</x:v>
      </x:c>
      <x:c r="M34" s="4" t="n">
        <x:f>ROUND(K34*J34,2)+L34</x:f>
        <x:v>16.49</x:v>
      </x:c>
      <x:c r="N34" s="4" t="n">
        <x:f>K34+M34</x:f>
        <x:v>88.19</x:v>
      </x:c>
      <x:c r="O34" t="str">
        <x:v>00189128/MAT</x:v>
      </x:c>
      <x:c r="P34" t="str">
        <x:v>Sales confirmation for document 44771(1).pdf</x:v>
      </x:c>
      <x:c r="Q34" s="2" t="n">
        <x:v>2</x:v>
      </x:c>
      <x:c r="R34" t="str">
        <x:v>Расходник</x:v>
      </x:c>
      <x:c r="S34" t="str">
        <x:v>Автохимия</x:v>
      </x:c>
    </x:row>
    <x:row r="35">
      <x:c r="A35" s="1" t="n">
        <x:v>46244</x:v>
      </x:c>
      <x:c r="B35" t="str">
        <x:v>F</x:v>
      </x:c>
      <x:c r="C35" t="str">
        <x:v>00044771/MAT/26/F</x:v>
      </x:c>
      <x:c r="D35" t="str"/>
      <x:c r="E35" s="2" t="n">
        <x:v>13</x:v>
      </x:c>
      <x:c r="F35" t="str">
        <x:v>SYNPOWER JL C5 0W20 5L Olej silnikowy SYNPOWER (5L)</x:v>
      </x:c>
      <x:c r="G35" t="str">
        <x:v>VALVOLINE</x:v>
      </x:c>
      <x:c r="H35" s="3" t="n">
        <x:v>1</x:v>
      </x:c>
      <x:c r="I35" s="4" t="n">
        <x:v>209.08</x:v>
      </x:c>
      <x:c r="J35" s="5" t="n">
        <x:v>0.23</x:v>
      </x:c>
      <x:c r="K35" s="4" t="n">
        <x:f>ROUND(H35*I35,2)</x:f>
        <x:v>209.08</x:v>
      </x:c>
      <x:c r="L35" s="4" t="n">
        <x:v>0</x:v>
      </x:c>
      <x:c r="M35" s="4" t="n">
        <x:f>ROUND(K35*J35,2)+L35</x:f>
        <x:v>48.09</x:v>
      </x:c>
      <x:c r="N35" s="4" t="n">
        <x:f>K35+M35</x:f>
        <x:v>257.17</x:v>
      </x:c>
      <x:c r="O35" t="str">
        <x:v>00188897/MAT</x:v>
      </x:c>
      <x:c r="P35" t="str">
        <x:v>Sales confirmation for document 44771(1).pdf</x:v>
      </x:c>
      <x:c r="Q35" s="2" t="n">
        <x:v>2</x:v>
      </x:c>
      <x:c r="R35" t="str">
        <x:v>Расходник</x:v>
      </x:c>
      <x:c r="S35" t="str">
        <x:v>Моторное масло</x:v>
      </x:c>
    </x:row>
    <x:row r="36">
      <x:c r="A36" s="1" t="n">
        <x:v>46244</x:v>
      </x:c>
      <x:c r="B36" t="str">
        <x:v>F</x:v>
      </x:c>
      <x:c r="C36" t="str">
        <x:v>00044771/MAT/26/F</x:v>
      </x:c>
      <x:c r="D36" t="str"/>
      <x:c r="E36" s="2" t="n">
        <x:v>14</x:v>
      </x:c>
      <x:c r="F36" t="str">
        <x:v>E159H01 D311 Filtr oleju</x:v>
      </x:c>
      <x:c r="G36" t="str">
        <x:v>HENGST</x:v>
      </x:c>
      <x:c r="H36" s="3" t="n">
        <x:v>1</x:v>
      </x:c>
      <x:c r="I36" s="4" t="n">
        <x:v>32.71</x:v>
      </x:c>
      <x:c r="J36" s="5" t="n">
        <x:v>0.23</x:v>
      </x:c>
      <x:c r="K36" s="4" t="n">
        <x:f>ROUND(H36*I36,2)</x:f>
        <x:v>32.71</x:v>
      </x:c>
      <x:c r="L36" s="4" t="n">
        <x:v>0</x:v>
      </x:c>
      <x:c r="M36" s="4" t="n">
        <x:f>ROUND(K36*J36,2)+L36</x:f>
        <x:v>7.52</x:v>
      </x:c>
      <x:c r="N36" s="4" t="n">
        <x:f>K36+M36</x:f>
        <x:v>40.230000000000004</x:v>
      </x:c>
      <x:c r="O36" t="str">
        <x:v>00189168/MAT</x:v>
      </x:c>
      <x:c r="P36" t="str">
        <x:v>Sales confirmation for document 44771(1).pdf</x:v>
      </x:c>
      <x:c r="Q36" s="2" t="n">
        <x:v>2</x:v>
      </x:c>
      <x:c r="R36" t="str">
        <x:v>Запчасть</x:v>
      </x:c>
      <x:c r="S36" t="str"/>
    </x:row>
    <x:row r="37">
      <x:c r="A37" s="1" t="n">
        <x:v>46244</x:v>
      </x:c>
      <x:c r="B37" t="str">
        <x:v>F</x:v>
      </x:c>
      <x:c r="C37" t="str">
        <x:v>00044771/MAT/26/F</x:v>
      </x:c>
      <x:c r="D37" t="str"/>
      <x:c r="E37" s="2" t="n">
        <x:v>15</x:v>
      </x:c>
      <x:c r="F37" t="str">
        <x:v>KTT G12+ 5L RTU SET Płyn do chłodnic (typ płynu</x:v>
      </x:c>
      <x:c r="G37" t="str">
        <x:v>THERMOTEC COOLANTS</x:v>
      </x:c>
      <x:c r="H37" s="3" t="n">
        <x:v>1</x:v>
      </x:c>
      <x:c r="I37" s="4" t="n">
        <x:v>118</x:v>
      </x:c>
      <x:c r="J37" s="5" t="n">
        <x:v>0.23</x:v>
      </x:c>
      <x:c r="K37" s="4" t="n">
        <x:f>ROUND(H37*I37,2)</x:f>
        <x:v>118</x:v>
      </x:c>
      <x:c r="L37" s="4" t="n">
        <x:v>0</x:v>
      </x:c>
      <x:c r="M37" s="4" t="n">
        <x:f>ROUND(K37*J37,2)+L37</x:f>
        <x:v>27.14</x:v>
      </x:c>
      <x:c r="N37" s="4" t="n">
        <x:f>K37+M37</x:f>
        <x:v>145.14</x:v>
      </x:c>
      <x:c r="O37" t="str">
        <x:v>00188346/MAT</x:v>
      </x:c>
      <x:c r="P37" t="str">
        <x:v>Sales confirmation for document 44771(1).pdf</x:v>
      </x:c>
      <x:c r="Q37" s="2" t="n">
        <x:v>2</x:v>
      </x:c>
      <x:c r="R37" t="str">
        <x:v>Расходник</x:v>
      </x:c>
      <x:c r="S37" t="str">
        <x:v>Охлаждающая жидкость</x:v>
      </x:c>
    </x:row>
    <x:row r="38">
      <x:c r="A38" s="1" t="n">
        <x:v>46244</x:v>
      </x:c>
      <x:c r="B38" t="str">
        <x:v>F</x:v>
      </x:c>
      <x:c r="C38" t="str">
        <x:v>00044771/MAT/26/F</x:v>
      </x:c>
      <x:c r="D38" t="str"/>
      <x:c r="E38" s="2" t="n">
        <x:v>16</x:v>
      </x:c>
      <x:c r="F38" t="str">
        <x:v>4932493235 Rękawice ochronne</x:v>
      </x:c>
      <x:c r="G38" t="str">
        <x:v>MILWAUKEE</x:v>
      </x:c>
      <x:c r="H38" s="3" t="n">
        <x:v>1</x:v>
      </x:c>
      <x:c r="I38" s="4" t="n">
        <x:v>44.14</x:v>
      </x:c>
      <x:c r="J38" s="5" t="n">
        <x:v>0.23</x:v>
      </x:c>
      <x:c r="K38" s="4" t="n">
        <x:f>ROUND(H38*I38,2)</x:f>
        <x:v>44.14</x:v>
      </x:c>
      <x:c r="L38" s="4" t="n">
        <x:v>0</x:v>
      </x:c>
      <x:c r="M38" s="4" t="n">
        <x:f>ROUND(K38*J38,2)+L38</x:f>
        <x:v>10.15</x:v>
      </x:c>
      <x:c r="N38" s="4" t="n">
        <x:f>K38+M38</x:f>
        <x:v>54.29</x:v>
      </x:c>
      <x:c r="O38" t="str">
        <x:v>00188346/MAT</x:v>
      </x:c>
      <x:c r="P38" t="str">
        <x:v>Sales confirmation for document 44771(1).pdf</x:v>
      </x:c>
      <x:c r="Q38" s="2" t="n">
        <x:v>2</x:v>
      </x:c>
      <x:c r="R38" t="str">
        <x:v>Расходник</x:v>
      </x:c>
      <x:c r="S38" t="str">
        <x:v>СИЗ и материалы</x:v>
      </x:c>
    </x:row>
    <x:row r="39">
      <x:c r="A39" s="1" t="n">
        <x:v>46244</x:v>
      </x:c>
      <x:c r="B39" t="str">
        <x:v>F</x:v>
      </x:c>
      <x:c r="C39" t="str">
        <x:v>00044771/MAT/26/F</x:v>
      </x:c>
      <x:c r="D39" t="str"/>
      <x:c r="E39" s="2" t="n">
        <x:v>17</x:v>
      </x:c>
      <x:c r="F39" t="str">
        <x:v>1 986 AD1 330 Kompresor klimatyzacji</x:v>
      </x:c>
      <x:c r="G39" t="str">
        <x:v>BOSCH</x:v>
      </x:c>
      <x:c r="H39" s="3" t="n">
        <x:v>1</x:v>
      </x:c>
      <x:c r="I39" s="4" t="n">
        <x:v>1049.16</x:v>
      </x:c>
      <x:c r="J39" s="5" t="n">
        <x:v>0.23</x:v>
      </x:c>
      <x:c r="K39" s="4" t="n">
        <x:f>ROUND(H39*I39,2)</x:f>
        <x:v>1049.16</x:v>
      </x:c>
      <x:c r="L39" s="4" t="n">
        <x:v>0</x:v>
      </x:c>
      <x:c r="M39" s="4" t="n">
        <x:f>ROUND(K39*J39,2)+L39</x:f>
        <x:v>241.31</x:v>
      </x:c>
      <x:c r="N39" s="4" t="n">
        <x:f>K39+M39</x:f>
        <x:v>1290.47</x:v>
      </x:c>
      <x:c r="O39" t="str">
        <x:v>00193807/MAT</x:v>
      </x:c>
      <x:c r="P39" t="str">
        <x:v>Sales confirmation for document 44771(1).pdf</x:v>
      </x:c>
      <x:c r="Q39" s="2" t="n">
        <x:v>2</x:v>
      </x:c>
      <x:c r="R39" t="str">
        <x:v>Запчасть</x:v>
      </x:c>
      <x:c r="S39" t="str"/>
    </x:row>
    <x:row r="40">
      <x:c r="A40" s="1" t="n">
        <x:v>46244</x:v>
      </x:c>
      <x:c r="B40" t="str">
        <x:v>F</x:v>
      </x:c>
      <x:c r="C40" t="str">
        <x:v>00044771/MAT/26/F</x:v>
      </x:c>
      <x:c r="D40" t="str"/>
      <x:c r="E40" s="2" t="n">
        <x:v>18</x:v>
      </x:c>
      <x:c r="F40" t="str">
        <x:v>SYNPOWER ENVC2/C3 5W30 1L Olej silnikowy</x:v>
      </x:c>
      <x:c r="G40" t="str">
        <x:v>VALVOLINE</x:v>
      </x:c>
      <x:c r="H40" s="3" t="n">
        <x:v>2</x:v>
      </x:c>
      <x:c r="I40" s="4" t="n">
        <x:v>42.9</x:v>
      </x:c>
      <x:c r="J40" s="5" t="n">
        <x:v>0.23</x:v>
      </x:c>
      <x:c r="K40" s="4" t="n">
        <x:f>ROUND(H40*I40,2)</x:f>
        <x:v>85.8</x:v>
      </x:c>
      <x:c r="L40" s="4" t="n">
        <x:v>0</x:v>
      </x:c>
      <x:c r="M40" s="4" t="n">
        <x:f>ROUND(K40*J40,2)+L40</x:f>
        <x:v>19.73</x:v>
      </x:c>
      <x:c r="N40" s="4" t="n">
        <x:f>K40+M40</x:f>
        <x:v>105.53</x:v>
      </x:c>
      <x:c r="O40" t="str">
        <x:v>00193651/MAT</x:v>
      </x:c>
      <x:c r="P40" t="str">
        <x:v>Sales confirmation for document 44771(1).pdf</x:v>
      </x:c>
      <x:c r="Q40" s="2" t="n">
        <x:v>2</x:v>
      </x:c>
      <x:c r="R40" t="str">
        <x:v>Расходник</x:v>
      </x:c>
      <x:c r="S40" t="str">
        <x:v>Моторное масло</x:v>
      </x:c>
    </x:row>
    <x:row r="41">
      <x:c r="A41" s="1" t="n">
        <x:v>46244</x:v>
      </x:c>
      <x:c r="B41" t="str">
        <x:v>F</x:v>
      </x:c>
      <x:c r="C41" t="str">
        <x:v>00044771/MAT/26/F</x:v>
      </x:c>
      <x:c r="D41" t="str"/>
      <x:c r="E41" s="2" t="n">
        <x:v>19</x:v>
      </x:c>
      <x:c r="F41" t="str">
        <x:v>SYNPOWER ENVC2/C3 5W30 5L Olej silnikowy</x:v>
      </x:c>
      <x:c r="G41" t="str">
        <x:v>VALVOLINE</x:v>
      </x:c>
      <x:c r="H41" s="3" t="n">
        <x:v>1</x:v>
      </x:c>
      <x:c r="I41" s="4" t="n">
        <x:v>184.52</x:v>
      </x:c>
      <x:c r="J41" s="5" t="n">
        <x:v>0.23</x:v>
      </x:c>
      <x:c r="K41" s="4" t="n">
        <x:f>ROUND(H41*I41,2)</x:f>
        <x:v>184.52</x:v>
      </x:c>
      <x:c r="L41" s="4" t="n">
        <x:v>0</x:v>
      </x:c>
      <x:c r="M41" s="4" t="n">
        <x:f>ROUND(K41*J41,2)+L41</x:f>
        <x:v>42.44</x:v>
      </x:c>
      <x:c r="N41" s="4" t="n">
        <x:f>K41+M41</x:f>
        <x:v>226.96</x:v>
      </x:c>
      <x:c r="O41" t="str">
        <x:v>00193651/MAT</x:v>
      </x:c>
      <x:c r="P41" t="str">
        <x:v>Sales confirmation for document 44771(1).pdf</x:v>
      </x:c>
      <x:c r="Q41" s="2" t="n">
        <x:v>2</x:v>
      </x:c>
      <x:c r="R41" t="str">
        <x:v>Расходник</x:v>
      </x:c>
      <x:c r="S41" t="str">
        <x:v>Моторное масло</x:v>
      </x:c>
    </x:row>
    <x:row r="42">
      <x:c r="A42" s="1" t="n">
        <x:v>46244</x:v>
      </x:c>
      <x:c r="B42" t="str">
        <x:v>FK</x:v>
      </x:c>
      <x:c r="C42" t="str">
        <x:v>00011980/MAT/26/FK</x:v>
      </x:c>
      <x:c r="D42" t="str">
        <x:v>00044516/MAT/26/F</x:v>
      </x:c>
      <x:c r="E42" s="2" t="n">
        <x:v>1</x:v>
      </x:c>
      <x:c r="F42" t="str">
        <x:v>TM8600226 Kompresor klimatyzacji</x:v>
      </x:c>
      <x:c r="G42" t="str">
        <x:v>TEAMEC</x:v>
      </x:c>
      <x:c r="H42" s="3" t="n">
        <x:v>-1</x:v>
      </x:c>
      <x:c r="I42" s="4" t="n">
        <x:v>869.84</x:v>
      </x:c>
      <x:c r="J42" s="5" t="n">
        <x:v>0.23</x:v>
      </x:c>
      <x:c r="K42" s="4" t="n">
        <x:f>ROUND(H42*I42,2)</x:f>
        <x:v>-869.84</x:v>
      </x:c>
      <x:c r="L42" s="4" t="n">
        <x:v>0</x:v>
      </x:c>
      <x:c r="M42" s="4" t="n">
        <x:f>ROUND(K42*J42,2)+L42</x:f>
        <x:v>-200.06</x:v>
      </x:c>
      <x:c r="N42" s="4" t="n">
        <x:f>K42+M42</x:f>
        <x:v>-1069.9</x:v>
      </x:c>
      <x:c r="O42" t="str"/>
      <x:c r="P42" t="str">
        <x:v>Sales confirmation for document 11980(1).pdf</x:v>
      </x:c>
      <x:c r="Q42" s="2" t="n">
        <x:v>1</x:v>
      </x:c>
      <x:c r="R42" t="str">
        <x:v>Запчасть</x:v>
      </x:c>
      <x:c r="S42" t="str"/>
    </x:row>
    <x:row r="43">
      <x:c r="A43" s="1" t="n">
        <x:v>46245</x:v>
      </x:c>
      <x:c r="B43" t="str">
        <x:v>F</x:v>
      </x:c>
      <x:c r="C43" t="str">
        <x:v>00045160/MAT/26/F</x:v>
      </x:c>
      <x:c r="D43" t="str"/>
      <x:c r="E43" s="2" t="n">
        <x:v>1</x:v>
      </x:c>
      <x:c r="F43" t="str">
        <x:v>1 987 302 777 Żarówka H7</x:v>
      </x:c>
      <x:c r="G43" t="str">
        <x:v>BOSCH</x:v>
      </x:c>
      <x:c r="H43" s="3" t="n">
        <x:v>6</x:v>
      </x:c>
      <x:c r="I43" s="4" t="n">
        <x:v>6.55</x:v>
      </x:c>
      <x:c r="J43" s="5" t="n">
        <x:v>0.23</x:v>
      </x:c>
      <x:c r="K43" s="4" t="n">
        <x:f>ROUND(H43*I43,2)</x:f>
        <x:v>39.3</x:v>
      </x:c>
      <x:c r="L43" s="4" t="n">
        <x:v>0</x:v>
      </x:c>
      <x:c r="M43" s="4" t="n">
        <x:f>ROUND(K43*J43,2)+L43</x:f>
        <x:v>9.04</x:v>
      </x:c>
      <x:c r="N43" s="4" t="n">
        <x:f>K43+M43</x:f>
        <x:v>48.339999999999996</x:v>
      </x:c>
      <x:c r="O43" t="str">
        <x:v>00196312/MAT</x:v>
      </x:c>
      <x:c r="P43" t="str">
        <x:v>Sales confirmation for document 45160(1).pdf</x:v>
      </x:c>
      <x:c r="Q43" s="2" t="n">
        <x:v>1</x:v>
      </x:c>
      <x:c r="R43" t="str">
        <x:v>Запчасть</x:v>
      </x:c>
      <x:c r="S43" t="str"/>
    </x:row>
    <x:row r="44">
      <x:c r="A44" s="1" t="n">
        <x:v>46246</x:v>
      </x:c>
      <x:c r="B44" t="str">
        <x:v>F</x:v>
      </x:c>
      <x:c r="C44" t="str">
        <x:v>00045415/MAT/26/F</x:v>
      </x:c>
      <x:c r="D44" t="str"/>
      <x:c r="E44" s="2" t="n">
        <x:v>1</x:v>
      </x:c>
      <x:c r="F44" t="str">
        <x:v>55578365 Przewody i elementy odprowadzania paliwa</x:v>
      </x:c>
      <x:c r="G44" t="str">
        <x:v>OE OPEL</x:v>
      </x:c>
      <x:c r="H44" s="3" t="n">
        <x:v>1</x:v>
      </x:c>
      <x:c r="I44" s="4" t="n">
        <x:v>103.93</x:v>
      </x:c>
      <x:c r="J44" s="5" t="n">
        <x:v>0.23</x:v>
      </x:c>
      <x:c r="K44" s="4" t="n">
        <x:f>ROUND(H44*I44,2)</x:f>
        <x:v>103.93</x:v>
      </x:c>
      <x:c r="L44" s="4" t="n">
        <x:v>0</x:v>
      </x:c>
      <x:c r="M44" s="4" t="n">
        <x:f>ROUND(K44*J44,2)+L44</x:f>
        <x:v>23.9</x:v>
      </x:c>
      <x:c r="N44" s="4" t="n">
        <x:f>K44+M44</x:f>
        <x:v>127.83000000000001</x:v>
      </x:c>
      <x:c r="O44" t="str">
        <x:v>00197535/MAT</x:v>
      </x:c>
      <x:c r="P44" t="str">
        <x:v>Sales confirmation for document 45415(1).pdf</x:v>
      </x:c>
      <x:c r="Q44" s="2" t="n">
        <x:v>1</x:v>
      </x:c>
      <x:c r="R44" t="str">
        <x:v>Запчасть</x:v>
      </x:c>
      <x:c r="S44" t="str"/>
    </x:row>
    <x:row r="45">
      <x:c r="A45" s="1" t="n">
        <x:v>46251</x:v>
      </x:c>
      <x:c r="B45" t="str">
        <x:v>F</x:v>
      </x:c>
      <x:c r="C45" t="str">
        <x:v>00045917/MAT/26/F</x:v>
      </x:c>
      <x:c r="D45" t="str"/>
      <x:c r="E45" s="2" t="n">
        <x:v>1</x:v>
      </x:c>
      <x:c r="F45" t="str">
        <x:v>FDB1323 Klocek hamulcowy kpl.</x:v>
      </x:c>
      <x:c r="G45" t="str">
        <x:v>FERODO</x:v>
      </x:c>
      <x:c r="H45" s="3" t="n">
        <x:v>1</x:v>
      </x:c>
      <x:c r="I45" s="4" t="n">
        <x:v>95.25</x:v>
      </x:c>
      <x:c r="J45" s="5" t="n">
        <x:v>0.23</x:v>
      </x:c>
      <x:c r="K45" s="4" t="n">
        <x:f>ROUND(H45*I45,2)</x:f>
        <x:v>95.25</x:v>
      </x:c>
      <x:c r="L45" s="4" t="n">
        <x:v>0</x:v>
      </x:c>
      <x:c r="M45" s="4" t="n">
        <x:f>ROUND(K45*J45,2)+L45</x:f>
        <x:v>21.91</x:v>
      </x:c>
      <x:c r="N45" s="4" t="n">
        <x:f>K45+M45</x:f>
        <x:v>117.16</x:v>
      </x:c>
      <x:c r="O45" t="str">
        <x:v>00199867/MAT</x:v>
      </x:c>
      <x:c r="P45" t="str">
        <x:v>Sales confirmation for document 45917.pdf</x:v>
      </x:c>
      <x:c r="Q45" s="2" t="n">
        <x:v>1</x:v>
      </x:c>
      <x:c r="R45" t="str">
        <x:v>Запчасть</x:v>
      </x:c>
      <x:c r="S45" t="str"/>
    </x:row>
    <x:row r="46">
      <x:c r="A46" s="1" t="n">
        <x:v>46251</x:v>
      </x:c>
      <x:c r="B46" t="str">
        <x:v>F</x:v>
      </x:c>
      <x:c r="C46" t="str">
        <x:v>00045917/MAT/26/F</x:v>
      </x:c>
      <x:c r="D46" t="str"/>
      <x:c r="E46" s="2" t="n">
        <x:v>2</x:v>
      </x:c>
      <x:c r="F46" t="str">
        <x:v>LP1824 Klocek hamulcowy kpl.</x:v>
      </x:c>
      <x:c r="G46" t="str">
        <x:v>DELPHI</x:v>
      </x:c>
      <x:c r="H46" s="3" t="n">
        <x:v>1</x:v>
      </x:c>
      <x:c r="I46" s="4" t="n">
        <x:v>77.04</x:v>
      </x:c>
      <x:c r="J46" s="5" t="n">
        <x:v>0.23</x:v>
      </x:c>
      <x:c r="K46" s="4" t="n">
        <x:f>ROUND(H46*I46,2)</x:f>
        <x:v>77.04</x:v>
      </x:c>
      <x:c r="L46" s="4" t="n">
        <x:v>0</x:v>
      </x:c>
      <x:c r="M46" s="4" t="n">
        <x:f>ROUND(K46*J46,2)+L46</x:f>
        <x:v>17.72</x:v>
      </x:c>
      <x:c r="N46" s="4" t="n">
        <x:f>K46+M46</x:f>
        <x:v>94.76</x:v>
      </x:c>
      <x:c r="O46" t="str">
        <x:v>00199876/MAT</x:v>
      </x:c>
      <x:c r="P46" t="str">
        <x:v>Sales confirmation for document 45917.pdf</x:v>
      </x:c>
      <x:c r="Q46" s="2" t="n">
        <x:v>1</x:v>
      </x:c>
      <x:c r="R46" t="str">
        <x:v>Запчасть</x:v>
      </x:c>
      <x:c r="S46" t="str"/>
    </x:row>
    <x:row r="47">
      <x:c r="A47" s="1" t="n">
        <x:v>46251</x:v>
      </x:c>
      <x:c r="B47" t="str">
        <x:v>F</x:v>
      </x:c>
      <x:c r="C47" t="str">
        <x:v>00045917/MAT/26/F</x:v>
      </x:c>
      <x:c r="D47" t="str"/>
      <x:c r="E47" s="2" t="n">
        <x:v>3</x:v>
      </x:c>
      <x:c r="F47" t="str">
        <x:v>BG3942 Tarcza hamulcowa</x:v>
      </x:c>
      <x:c r="G47" t="str">
        <x:v>DELPHI</x:v>
      </x:c>
      <x:c r="H47" s="3" t="n">
        <x:v>1</x:v>
      </x:c>
      <x:c r="I47" s="4" t="n">
        <x:v>316.42</x:v>
      </x:c>
      <x:c r="J47" s="5" t="n">
        <x:v>0.23</x:v>
      </x:c>
      <x:c r="K47" s="4" t="n">
        <x:f>ROUND(H47*I47,2)</x:f>
        <x:v>316.42</x:v>
      </x:c>
      <x:c r="L47" s="4" t="n">
        <x:v>0</x:v>
      </x:c>
      <x:c r="M47" s="4" t="n">
        <x:f>ROUND(K47*J47,2)+L47</x:f>
        <x:v>72.78</x:v>
      </x:c>
      <x:c r="N47" s="4" t="n">
        <x:f>K47+M47</x:f>
        <x:v>389.20000000000005</x:v>
      </x:c>
      <x:c r="O47" t="str">
        <x:v>00199980/MAT</x:v>
      </x:c>
      <x:c r="P47" t="str">
        <x:v>Sales confirmation for document 45917.pdf</x:v>
      </x:c>
      <x:c r="Q47" s="2" t="n">
        <x:v>1</x:v>
      </x:c>
      <x:c r="R47" t="str">
        <x:v>Запчасть</x:v>
      </x:c>
      <x:c r="S47" t="str"/>
    </x:row>
    <x:row r="48">
      <x:c r="A48" s="1" t="n">
        <x:v>46251</x:v>
      </x:c>
      <x:c r="B48" t="str">
        <x:v>F</x:v>
      </x:c>
      <x:c r="C48" t="str">
        <x:v>00045917/MAT/26/F</x:v>
      </x:c>
      <x:c r="D48" t="str"/>
      <x:c r="E48" s="2" t="n">
        <x:v>4</x:v>
      </x:c>
      <x:c r="F48" t="str">
        <x:v>BG3956C Tarcza hamulcowa</x:v>
      </x:c>
      <x:c r="G48" t="str">
        <x:v>DELPHI</x:v>
      </x:c>
      <x:c r="H48" s="3" t="n">
        <x:v>1</x:v>
      </x:c>
      <x:c r="I48" s="4" t="n">
        <x:v>228.79</x:v>
      </x:c>
      <x:c r="J48" s="5" t="n">
        <x:v>0.23</x:v>
      </x:c>
      <x:c r="K48" s="4" t="n">
        <x:f>ROUND(H48*I48,2)</x:f>
        <x:v>228.79</x:v>
      </x:c>
      <x:c r="L48" s="4" t="n">
        <x:v>0</x:v>
      </x:c>
      <x:c r="M48" s="4" t="n">
        <x:f>ROUND(K48*J48,2)+L48</x:f>
        <x:v>52.62</x:v>
      </x:c>
      <x:c r="N48" s="4" t="n">
        <x:f>K48+M48</x:f>
        <x:v>281.40999999999997</x:v>
      </x:c>
      <x:c r="O48" t="str">
        <x:v>00199976/MAT</x:v>
      </x:c>
      <x:c r="P48" t="str">
        <x:v>Sales confirmation for document 45917.pdf</x:v>
      </x:c>
      <x:c r="Q48" s="2" t="n">
        <x:v>1</x:v>
      </x:c>
      <x:c r="R48" t="str">
        <x:v>Запчасть</x:v>
      </x:c>
      <x:c r="S48" t="str"/>
    </x:row>
    <x:row r="49">
      <x:c r="A49" s="1" t="n">
        <x:v>46251</x:v>
      </x:c>
      <x:c r="B49" t="str">
        <x:v>F</x:v>
      </x:c>
      <x:c r="C49" t="str">
        <x:v>00045917/MAT/26/F</x:v>
      </x:c>
      <x:c r="D49" t="str"/>
      <x:c r="E49" s="2" t="n">
        <x:v>5</x:v>
      </x:c>
      <x:c r="F49" t="str">
        <x:v>RH11-0053 Części mocujące zawieszenia silnika</x:v>
      </x:c>
      <x:c r="G49" t="str">
        <x:v>REINHOCH</x:v>
      </x:c>
      <x:c r="H49" s="3" t="n">
        <x:v>1</x:v>
      </x:c>
      <x:c r="I49" s="4" t="n">
        <x:v>7.12</x:v>
      </x:c>
      <x:c r="J49" s="5" t="n">
        <x:v>0.23</x:v>
      </x:c>
      <x:c r="K49" s="4" t="n">
        <x:f>ROUND(H49*I49,2)</x:f>
        <x:v>7.12</x:v>
      </x:c>
      <x:c r="L49" s="4" t="n">
        <x:v>0</x:v>
      </x:c>
      <x:c r="M49" s="4" t="n">
        <x:f>ROUND(K49*J49,2)+L49</x:f>
        <x:v>1.64</x:v>
      </x:c>
      <x:c r="N49" s="4" t="n">
        <x:f>K49+M49</x:f>
        <x:v>8.76</x:v>
      </x:c>
      <x:c r="O49" t="str">
        <x:v>00199999/MAT</x:v>
      </x:c>
      <x:c r="P49" t="str">
        <x:v>Sales confirmation for document 45917.pdf</x:v>
      </x:c>
      <x:c r="Q49" s="2" t="n">
        <x:v>1</x:v>
      </x:c>
      <x:c r="R49" t="str">
        <x:v>Запчасть</x:v>
      </x:c>
      <x:c r="S49" t="str"/>
    </x:row>
    <x:row r="50">
      <x:c r="A50" s="1" t="n">
        <x:v>46251</x:v>
      </x:c>
      <x:c r="B50" t="str">
        <x:v>F</x:v>
      </x:c>
      <x:c r="C50" t="str">
        <x:v>00045917/MAT/26/F</x:v>
      </x:c>
      <x:c r="D50" t="str"/>
      <x:c r="E50" s="2" t="n">
        <x:v>6</x:v>
      </x:c>
      <x:c r="F50" t="str">
        <x:v>RH04-0017 Wahacz zawieszenia koła przód</x:v>
      </x:c>
      <x:c r="G50" t="str">
        <x:v>REINHOCH</x:v>
      </x:c>
      <x:c r="H50" s="3" t="n">
        <x:v>1</x:v>
      </x:c>
      <x:c r="I50" s="4" t="n">
        <x:v>54.97</x:v>
      </x:c>
      <x:c r="J50" s="5" t="n">
        <x:v>0.23</x:v>
      </x:c>
      <x:c r="K50" s="4" t="n">
        <x:f>ROUND(H50*I50,2)</x:f>
        <x:v>54.97</x:v>
      </x:c>
      <x:c r="L50" s="4" t="n">
        <x:v>0</x:v>
      </x:c>
      <x:c r="M50" s="4" t="n">
        <x:f>ROUND(K50*J50,2)+L50</x:f>
        <x:v>12.64</x:v>
      </x:c>
      <x:c r="N50" s="4" t="n">
        <x:f>K50+M50</x:f>
        <x:v>67.61</x:v>
      </x:c>
      <x:c r="O50" t="str">
        <x:v>00199951/MAT</x:v>
      </x:c>
      <x:c r="P50" t="str">
        <x:v>Sales confirmation for document 45917.pdf</x:v>
      </x:c>
      <x:c r="Q50" s="2" t="n">
        <x:v>1</x:v>
      </x:c>
      <x:c r="R50" t="str">
        <x:v>Запчасть</x:v>
      </x:c>
      <x:c r="S50" t="str"/>
    </x:row>
    <x:row r="51">
      <x:c r="A51" s="1" t="n">
        <x:v>46251</x:v>
      </x:c>
      <x:c r="B51" t="str">
        <x:v>F</x:v>
      </x:c>
      <x:c r="C51" t="str">
        <x:v>00045917/MAT/26/F</x:v>
      </x:c>
      <x:c r="D51" t="str"/>
      <x:c r="E51" s="2" t="n">
        <x:v>7</x:v>
      </x:c>
      <x:c r="F51" t="str">
        <x:v>RH04-0018 Wahacz zawieszenia koła przód</x:v>
      </x:c>
      <x:c r="G51" t="str">
        <x:v>REINHOCH</x:v>
      </x:c>
      <x:c r="H51" s="3" t="n">
        <x:v>1</x:v>
      </x:c>
      <x:c r="I51" s="4" t="n">
        <x:v>54.97</x:v>
      </x:c>
      <x:c r="J51" s="5" t="n">
        <x:v>0.23</x:v>
      </x:c>
      <x:c r="K51" s="4" t="n">
        <x:f>ROUND(H51*I51,2)</x:f>
        <x:v>54.97</x:v>
      </x:c>
      <x:c r="L51" s="4" t="n">
        <x:v>0</x:v>
      </x:c>
      <x:c r="M51" s="4" t="n">
        <x:f>ROUND(K51*J51,2)+L51</x:f>
        <x:v>12.64</x:v>
      </x:c>
      <x:c r="N51" s="4" t="n">
        <x:f>K51+M51</x:f>
        <x:v>67.61</x:v>
      </x:c>
      <x:c r="O51" t="str">
        <x:v>00199951/MAT</x:v>
      </x:c>
      <x:c r="P51" t="str">
        <x:v>Sales confirmation for document 45917.pdf</x:v>
      </x:c>
      <x:c r="Q51" s="2" t="n">
        <x:v>1</x:v>
      </x:c>
      <x:c r="R51" t="str">
        <x:v>Запчасть</x:v>
      </x:c>
      <x:c r="S51" t="str"/>
    </x:row>
    <x:row r="52">
      <x:c r="A52" s="1" t="n">
        <x:v>46251</x:v>
      </x:c>
      <x:c r="B52" t="str">
        <x:v>F</x:v>
      </x:c>
      <x:c r="C52" t="str">
        <x:v>00045917/MAT/26/F</x:v>
      </x:c>
      <x:c r="D52" t="str"/>
      <x:c r="E52" s="2" t="n">
        <x:v>8</x:v>
      </x:c>
      <x:c r="F52" t="str">
        <x:v>RH04-0019 Wahacz zawieszenia koła przód</x:v>
      </x:c>
      <x:c r="G52" t="str">
        <x:v>REINHOCH</x:v>
      </x:c>
      <x:c r="H52" s="3" t="n">
        <x:v>1</x:v>
      </x:c>
      <x:c r="I52" s="4" t="n">
        <x:v>69.48</x:v>
      </x:c>
      <x:c r="J52" s="5" t="n">
        <x:v>0.23</x:v>
      </x:c>
      <x:c r="K52" s="4" t="n">
        <x:f>ROUND(H52*I52,2)</x:f>
        <x:v>69.48</x:v>
      </x:c>
      <x:c r="L52" s="4" t="n">
        <x:v>0</x:v>
      </x:c>
      <x:c r="M52" s="4" t="n">
        <x:f>ROUND(K52*J52,2)+L52</x:f>
        <x:v>15.98</x:v>
      </x:c>
      <x:c r="N52" s="4" t="n">
        <x:f>K52+M52</x:f>
        <x:v>85.46000000000001</x:v>
      </x:c>
      <x:c r="O52" t="str">
        <x:v>00199951/MAT</x:v>
      </x:c>
      <x:c r="P52" t="str">
        <x:v>Sales confirmation for document 45917.pdf</x:v>
      </x:c>
      <x:c r="Q52" s="2" t="n">
        <x:v>2</x:v>
      </x:c>
      <x:c r="R52" t="str">
        <x:v>Запчасть</x:v>
      </x:c>
      <x:c r="S52" t="str"/>
    </x:row>
    <x:row r="53">
      <x:c r="A53" s="1" t="n">
        <x:v>46251</x:v>
      </x:c>
      <x:c r="B53" t="str">
        <x:v>F</x:v>
      </x:c>
      <x:c r="C53" t="str">
        <x:v>00045917/MAT/26/F</x:v>
      </x:c>
      <x:c r="D53" t="str"/>
      <x:c r="E53" s="2" t="n">
        <x:v>9</x:v>
      </x:c>
      <x:c r="F53" t="str">
        <x:v>RH04-0020 Wahacz zawieszenia koła przód</x:v>
      </x:c>
      <x:c r="G53" t="str">
        <x:v>REINHOCH</x:v>
      </x:c>
      <x:c r="H53" s="3" t="n">
        <x:v>1</x:v>
      </x:c>
      <x:c r="I53" s="4" t="n">
        <x:v>69.48</x:v>
      </x:c>
      <x:c r="J53" s="5" t="n">
        <x:v>0.23</x:v>
      </x:c>
      <x:c r="K53" s="4" t="n">
        <x:f>ROUND(H53*I53,2)</x:f>
        <x:v>69.48</x:v>
      </x:c>
      <x:c r="L53" s="4" t="n">
        <x:v>0</x:v>
      </x:c>
      <x:c r="M53" s="4" t="n">
        <x:f>ROUND(K53*J53,2)+L53</x:f>
        <x:v>15.98</x:v>
      </x:c>
      <x:c r="N53" s="4" t="n">
        <x:f>K53+M53</x:f>
        <x:v>85.46000000000001</x:v>
      </x:c>
      <x:c r="O53" t="str">
        <x:v>00199999/MAT</x:v>
      </x:c>
      <x:c r="P53" t="str">
        <x:v>Sales confirmation for document 45917.pdf</x:v>
      </x:c>
      <x:c r="Q53" s="2" t="n">
        <x:v>2</x:v>
      </x:c>
      <x:c r="R53" t="str">
        <x:v>Запчасть</x:v>
      </x:c>
      <x:c r="S53" t="str"/>
    </x:row>
    <x:row r="54">
      <x:c r="A54" s="1" t="n">
        <x:v>46251</x:v>
      </x:c>
      <x:c r="B54" t="str">
        <x:v>F</x:v>
      </x:c>
      <x:c r="C54" t="str">
        <x:v>00045917/MAT/26/F</x:v>
      </x:c>
      <x:c r="D54" t="str"/>
      <x:c r="E54" s="2" t="n">
        <x:v>10</x:v>
      </x:c>
      <x:c r="F54" t="str">
        <x:v>RH06-0021 Łącznik drążka stabilizatora</x:v>
      </x:c>
      <x:c r="G54" t="str">
        <x:v>REINHOCH</x:v>
      </x:c>
      <x:c r="H54" s="3" t="n">
        <x:v>2</x:v>
      </x:c>
      <x:c r="I54" s="4" t="n">
        <x:v>25.74</x:v>
      </x:c>
      <x:c r="J54" s="5" t="n">
        <x:v>0.23</x:v>
      </x:c>
      <x:c r="K54" s="4" t="n">
        <x:f>ROUND(H54*I54,2)</x:f>
        <x:v>51.48</x:v>
      </x:c>
      <x:c r="L54" s="4" t="n">
        <x:v>0</x:v>
      </x:c>
      <x:c r="M54" s="4" t="n">
        <x:f>ROUND(K54*J54,2)+L54</x:f>
        <x:v>11.84</x:v>
      </x:c>
      <x:c r="N54" s="4" t="n">
        <x:f>K54+M54</x:f>
        <x:v>63.31999999999999</x:v>
      </x:c>
      <x:c r="O54" t="str">
        <x:v>00199958/MAT</x:v>
      </x:c>
      <x:c r="P54" t="str">
        <x:v>Sales confirmation for document 45917.pdf</x:v>
      </x:c>
      <x:c r="Q54" s="2" t="n">
        <x:v>2</x:v>
      </x:c>
      <x:c r="R54" t="str">
        <x:v>Запчасть</x:v>
      </x:c>
      <x:c r="S54" t="str"/>
    </x:row>
    <x:row r="55">
      <x:c r="A55" s="1" t="n">
        <x:v>46251</x:v>
      </x:c>
      <x:c r="B55" t="str">
        <x:v>F</x:v>
      </x:c>
      <x:c r="C55" t="str">
        <x:v>00046048/MAT/26/F</x:v>
      </x:c>
      <x:c r="D55" t="str"/>
      <x:c r="E55" s="2" t="n">
        <x:v>1</x:v>
      </x:c>
      <x:c r="F55" t="str">
        <x:v>8100 X-CLEAN+ 5W30 5L Olej silnikowy</x:v>
      </x:c>
      <x:c r="G55" t="str">
        <x:v>MOTUL</x:v>
      </x:c>
      <x:c r="H55" s="3" t="n">
        <x:v>1</x:v>
      </x:c>
      <x:c r="I55" s="4" t="n">
        <x:v>238.44</x:v>
      </x:c>
      <x:c r="J55" s="5" t="n">
        <x:v>0.23</x:v>
      </x:c>
      <x:c r="K55" s="4" t="n">
        <x:f>ROUND(H55*I55,2)</x:f>
        <x:v>238.44</x:v>
      </x:c>
      <x:c r="L55" s="4" t="n">
        <x:v>0</x:v>
      </x:c>
      <x:c r="M55" s="4" t="n">
        <x:f>ROUND(K55*J55,2)+L55</x:f>
        <x:v>54.84</x:v>
      </x:c>
      <x:c r="N55" s="4" t="n">
        <x:f>K55+M55</x:f>
        <x:v>293.28</x:v>
      </x:c>
      <x:c r="O55" t="str">
        <x:v>00194395/MAT</x:v>
      </x:c>
      <x:c r="P55" t="str">
        <x:v>Sales confirmation for document 46048.pdf</x:v>
      </x:c>
      <x:c r="Q55" s="2" t="n">
        <x:v>1</x:v>
      </x:c>
      <x:c r="R55" t="str">
        <x:v>Расходник</x:v>
      </x:c>
      <x:c r="S55" t="str">
        <x:v>Моторное масло</x:v>
      </x:c>
    </x:row>
    <x:row r="56">
      <x:c r="A56" s="1" t="n">
        <x:v>46251</x:v>
      </x:c>
      <x:c r="B56" t="str">
        <x:v>F</x:v>
      </x:c>
      <x:c r="C56" t="str">
        <x:v>00046048/MAT/26/F</x:v>
      </x:c>
      <x:c r="D56" t="str"/>
      <x:c r="E56" s="2" t="n">
        <x:v>2</x:v>
      </x:c>
      <x:c r="F56" t="str">
        <x:v>AP 139/5 Filtr powietrza</x:v>
      </x:c>
      <x:c r="G56" t="str">
        <x:v>FILTRON</x:v>
      </x:c>
      <x:c r="H56" s="3" t="n">
        <x:v>1</x:v>
      </x:c>
      <x:c r="I56" s="4" t="n">
        <x:v>27.84</x:v>
      </x:c>
      <x:c r="J56" s="5" t="n">
        <x:v>0.23</x:v>
      </x:c>
      <x:c r="K56" s="4" t="n">
        <x:f>ROUND(H56*I56,2)</x:f>
        <x:v>27.84</x:v>
      </x:c>
      <x:c r="L56" s="4" t="n">
        <x:v>0</x:v>
      </x:c>
      <x:c r="M56" s="4" t="n">
        <x:f>ROUND(K56*J56,2)+L56</x:f>
        <x:v>6.4</x:v>
      </x:c>
      <x:c r="N56" s="4" t="n">
        <x:f>K56+M56</x:f>
        <x:v>34.24</x:v>
      </x:c>
      <x:c r="O56" t="str">
        <x:v>00194395/MAT</x:v>
      </x:c>
      <x:c r="P56" t="str">
        <x:v>Sales confirmation for document 46048.pdf</x:v>
      </x:c>
      <x:c r="Q56" s="2" t="n">
        <x:v>1</x:v>
      </x:c>
      <x:c r="R56" t="str">
        <x:v>Запчасть</x:v>
      </x:c>
      <x:c r="S56" t="str"/>
    </x:row>
    <x:row r="57">
      <x:c r="A57" s="1" t="n">
        <x:v>46251</x:v>
      </x:c>
      <x:c r="B57" t="str">
        <x:v>F</x:v>
      </x:c>
      <x:c r="C57" t="str">
        <x:v>00046048/MAT/26/F</x:v>
      </x:c>
      <x:c r="D57" t="str"/>
      <x:c r="E57" s="2" t="n">
        <x:v>3</x:v>
      </x:c>
      <x:c r="F57" t="str">
        <x:v>K 1311A Filtr kabiny</x:v>
      </x:c>
      <x:c r="G57" t="str">
        <x:v>FILTRON</x:v>
      </x:c>
      <x:c r="H57" s="3" t="n">
        <x:v>1</x:v>
      </x:c>
      <x:c r="I57" s="4" t="n">
        <x:v>25.44</x:v>
      </x:c>
      <x:c r="J57" s="5" t="n">
        <x:v>0.23</x:v>
      </x:c>
      <x:c r="K57" s="4" t="n">
        <x:f>ROUND(H57*I57,2)</x:f>
        <x:v>25.44</x:v>
      </x:c>
      <x:c r="L57" s="4" t="n">
        <x:v>0</x:v>
      </x:c>
      <x:c r="M57" s="4" t="n">
        <x:f>ROUND(K57*J57,2)+L57</x:f>
        <x:v>5.85</x:v>
      </x:c>
      <x:c r="N57" s="4" t="n">
        <x:f>K57+M57</x:f>
        <x:v>31.29</x:v>
      </x:c>
      <x:c r="O57" t="str">
        <x:v>00194395/MAT</x:v>
      </x:c>
      <x:c r="P57" t="str">
        <x:v>Sales confirmation for document 46048.pdf</x:v>
      </x:c>
      <x:c r="Q57" s="2" t="n">
        <x:v>1</x:v>
      </x:c>
      <x:c r="R57" t="str">
        <x:v>Запчасть</x:v>
      </x:c>
      <x:c r="S57" t="str"/>
    </x:row>
    <x:row r="58">
      <x:c r="A58" s="1" t="n">
        <x:v>46251</x:v>
      </x:c>
      <x:c r="B58" t="str">
        <x:v>F</x:v>
      </x:c>
      <x:c r="C58" t="str">
        <x:v>00046048/MAT/26/F</x:v>
      </x:c>
      <x:c r="D58" t="str"/>
      <x:c r="E58" s="2" t="n">
        <x:v>4</x:v>
      </x:c>
      <x:c r="F58" t="str">
        <x:v>OE 688/3 Filtr oleju</x:v>
      </x:c>
      <x:c r="G58" t="str">
        <x:v>FILTRON</x:v>
      </x:c>
      <x:c r="H58" s="3" t="n">
        <x:v>1</x:v>
      </x:c>
      <x:c r="I58" s="4" t="n">
        <x:v>15.39</x:v>
      </x:c>
      <x:c r="J58" s="5" t="n">
        <x:v>0.23</x:v>
      </x:c>
      <x:c r="K58" s="4" t="n">
        <x:f>ROUND(H58*I58,2)</x:f>
        <x:v>15.39</x:v>
      </x:c>
      <x:c r="L58" s="4" t="n">
        <x:v>0.01</x:v>
      </x:c>
      <x:c r="M58" s="4" t="n">
        <x:f>ROUND(K58*J58,2)+L58</x:f>
        <x:v>3.55</x:v>
      </x:c>
      <x:c r="N58" s="4" t="n">
        <x:f>K58+M58</x:f>
        <x:v>18.94</x:v>
      </x:c>
      <x:c r="O58" t="str">
        <x:v>00194395/MAT</x:v>
      </x:c>
      <x:c r="P58" t="str">
        <x:v>Sales confirmation for document 46048.pdf</x:v>
      </x:c>
      <x:c r="Q58" s="2" t="n">
        <x:v>1</x:v>
      </x:c>
      <x:c r="R58" t="str">
        <x:v>Запчасть</x:v>
      </x:c>
      <x:c r="S58" t="str"/>
    </x:row>
    <x:row r="59">
      <x:c r="A59" s="1" t="n">
        <x:v>46252</x:v>
      </x:c>
      <x:c r="B59" t="str">
        <x:v>F</x:v>
      </x:c>
      <x:c r="C59" t="str">
        <x:v>00046369/MAT/26/F</x:v>
      </x:c>
      <x:c r="D59" t="str"/>
      <x:c r="E59" s="2" t="n">
        <x:v>1</x:v>
      </x:c>
      <x:c r="F59" t="str">
        <x:v>H14W23 Filtr oleju</x:v>
      </x:c>
      <x:c r="G59" t="str">
        <x:v>HENGST</x:v>
      </x:c>
      <x:c r="H59" s="3" t="n">
        <x:v>1</x:v>
      </x:c>
      <x:c r="I59" s="4" t="n">
        <x:v>19.18</x:v>
      </x:c>
      <x:c r="J59" s="5" t="n">
        <x:v>0.23</x:v>
      </x:c>
      <x:c r="K59" s="4" t="n">
        <x:f>ROUND(H59*I59,2)</x:f>
        <x:v>19.18</x:v>
      </x:c>
      <x:c r="L59" s="4" t="n">
        <x:v>0</x:v>
      </x:c>
      <x:c r="M59" s="4" t="n">
        <x:f>ROUND(K59*J59,2)+L59</x:f>
        <x:v>4.41</x:v>
      </x:c>
      <x:c r="N59" s="4" t="n">
        <x:f>K59+M59</x:f>
        <x:v>23.59</x:v>
      </x:c>
      <x:c r="O59" t="str">
        <x:v>00201496/MAT</x:v>
      </x:c>
      <x:c r="P59" t="str">
        <x:v>Sales confirmation for document 46369.pdf</x:v>
      </x:c>
      <x:c r="Q59" s="2" t="n">
        <x:v>1</x:v>
      </x:c>
      <x:c r="R59" t="str">
        <x:v>Запчасть</x:v>
      </x:c>
      <x:c r="S59" t="str"/>
    </x:row>
    <x:row r="60">
      <x:c r="A60" s="1" t="n">
        <x:v>46252</x:v>
      </x:c>
      <x:c r="B60" t="str">
        <x:v>F</x:v>
      </x:c>
      <x:c r="C60" t="str">
        <x:v>00046369/MAT/26/F</x:v>
      </x:c>
      <x:c r="D60" t="str"/>
      <x:c r="E60" s="2" t="n">
        <x:v>2</x:v>
      </x:c>
      <x:c r="F60" t="str">
        <x:v>AP 186 Filtr powietrza</x:v>
      </x:c>
      <x:c r="G60" t="str">
        <x:v>FILTRON</x:v>
      </x:c>
      <x:c r="H60" s="3" t="n">
        <x:v>1</x:v>
      </x:c>
      <x:c r="I60" s="4" t="n">
        <x:v>28.74</x:v>
      </x:c>
      <x:c r="J60" s="5" t="n">
        <x:v>0.23</x:v>
      </x:c>
      <x:c r="K60" s="4" t="n">
        <x:f>ROUND(H60*I60,2)</x:f>
        <x:v>28.74</x:v>
      </x:c>
      <x:c r="L60" s="4" t="n">
        <x:v>0</x:v>
      </x:c>
      <x:c r="M60" s="4" t="n">
        <x:f>ROUND(K60*J60,2)+L60</x:f>
        <x:v>6.61</x:v>
      </x:c>
      <x:c r="N60" s="4" t="n">
        <x:f>K60+M60</x:f>
        <x:v>35.35</x:v>
      </x:c>
      <x:c r="O60" t="str">
        <x:v>00201496/MAT</x:v>
      </x:c>
      <x:c r="P60" t="str">
        <x:v>Sales confirmation for document 46369.pdf</x:v>
      </x:c>
      <x:c r="Q60" s="2" t="n">
        <x:v>1</x:v>
      </x:c>
      <x:c r="R60" t="str">
        <x:v>Запчасть</x:v>
      </x:c>
      <x:c r="S60" t="str"/>
    </x:row>
    <x:row r="61">
      <x:c r="A61" s="1" t="n">
        <x:v>46252</x:v>
      </x:c>
      <x:c r="B61" t="str">
        <x:v>F</x:v>
      </x:c>
      <x:c r="C61" t="str">
        <x:v>00046369/MAT/26/F</x:v>
      </x:c>
      <x:c r="D61" t="str"/>
      <x:c r="E61" s="2" t="n">
        <x:v>3</x:v>
      </x:c>
      <x:c r="F61" t="str">
        <x:v>OE 640/8 Filtr oleju</x:v>
      </x:c>
      <x:c r="G61" t="str">
        <x:v>FILTRON</x:v>
      </x:c>
      <x:c r="H61" s="3" t="n">
        <x:v>1</x:v>
      </x:c>
      <x:c r="I61" s="4" t="n">
        <x:v>15.7</x:v>
      </x:c>
      <x:c r="J61" s="5" t="n">
        <x:v>0.23</x:v>
      </x:c>
      <x:c r="K61" s="4" t="n">
        <x:f>ROUND(H61*I61,2)</x:f>
        <x:v>15.7</x:v>
      </x:c>
      <x:c r="L61" s="4" t="n">
        <x:v>0</x:v>
      </x:c>
      <x:c r="M61" s="4" t="n">
        <x:f>ROUND(K61*J61,2)+L61</x:f>
        <x:v>3.61</x:v>
      </x:c>
      <x:c r="N61" s="4" t="n">
        <x:f>K61+M61</x:f>
        <x:v>19.31</x:v>
      </x:c>
      <x:c r="O61" t="str">
        <x:v>00201445/MAT</x:v>
      </x:c>
      <x:c r="P61" t="str">
        <x:v>Sales confirmation for document 46369.pdf</x:v>
      </x:c>
      <x:c r="Q61" s="2" t="n">
        <x:v>1</x:v>
      </x:c>
      <x:c r="R61" t="str">
        <x:v>Запчасть</x:v>
      </x:c>
      <x:c r="S61" t="str"/>
    </x:row>
    <x:row r="62">
      <x:c r="A62" s="1" t="n">
        <x:v>46252</x:v>
      </x:c>
      <x:c r="B62" t="str">
        <x:v>F</x:v>
      </x:c>
      <x:c r="C62" t="str">
        <x:v>00046369/MAT/26/F</x:v>
      </x:c>
      <x:c r="D62" t="str"/>
      <x:c r="E62" s="2" t="n">
        <x:v>4</x:v>
      </x:c>
      <x:c r="F62" t="str">
        <x:v>K 1146A Filtr kabiny</x:v>
      </x:c>
      <x:c r="G62" t="str">
        <x:v>FILTRON</x:v>
      </x:c>
      <x:c r="H62" s="3" t="n">
        <x:v>1</x:v>
      </x:c>
      <x:c r="I62" s="4" t="n">
        <x:v>39.99</x:v>
      </x:c>
      <x:c r="J62" s="5" t="n">
        <x:v>0.23</x:v>
      </x:c>
      <x:c r="K62" s="4" t="n">
        <x:f>ROUND(H62*I62,2)</x:f>
        <x:v>39.99</x:v>
      </x:c>
      <x:c r="L62" s="4" t="n">
        <x:v>0</x:v>
      </x:c>
      <x:c r="M62" s="4" t="n">
        <x:f>ROUND(K62*J62,2)+L62</x:f>
        <x:v>9.2</x:v>
      </x:c>
      <x:c r="N62" s="4" t="n">
        <x:f>K62+M62</x:f>
        <x:v>49.19</x:v>
      </x:c>
      <x:c r="O62" t="str">
        <x:v>00201445/MAT</x:v>
      </x:c>
      <x:c r="P62" t="str">
        <x:v>Sales confirmation for document 46369.pdf</x:v>
      </x:c>
      <x:c r="Q62" s="2" t="n">
        <x:v>1</x:v>
      </x:c>
      <x:c r="R62" t="str">
        <x:v>Запчасть</x:v>
      </x:c>
      <x:c r="S62" t="str"/>
    </x:row>
    <x:row r="63">
      <x:c r="A63" s="1" t="n">
        <x:v>46252</x:v>
      </x:c>
      <x:c r="B63" t="str">
        <x:v>F</x:v>
      </x:c>
      <x:c r="C63" t="str">
        <x:v>00046369/MAT/26/F</x:v>
      </x:c>
      <x:c r="D63" t="str"/>
      <x:c r="E63" s="2" t="n">
        <x:v>5</x:v>
      </x:c>
      <x:c r="F63" t="str">
        <x:v>AK 218/1 Filtr powietrza</x:v>
      </x:c>
      <x:c r="G63" t="str">
        <x:v>FILTRON</x:v>
      </x:c>
      <x:c r="H63" s="3" t="n">
        <x:v>1</x:v>
      </x:c>
      <x:c r="I63" s="4" t="n">
        <x:v>40.99</x:v>
      </x:c>
      <x:c r="J63" s="5" t="n">
        <x:v>0.23</x:v>
      </x:c>
      <x:c r="K63" s="4" t="n">
        <x:f>ROUND(H63*I63,2)</x:f>
        <x:v>40.99</x:v>
      </x:c>
      <x:c r="L63" s="4" t="n">
        <x:v>0</x:v>
      </x:c>
      <x:c r="M63" s="4" t="n">
        <x:f>ROUND(K63*J63,2)+L63</x:f>
        <x:v>9.43</x:v>
      </x:c>
      <x:c r="N63" s="4" t="n">
        <x:f>K63+M63</x:f>
        <x:v>50.42</x:v>
      </x:c>
      <x:c r="O63" t="str">
        <x:v>00201445/MAT</x:v>
      </x:c>
      <x:c r="P63" t="str">
        <x:v>Sales confirmation for document 46369.pdf</x:v>
      </x:c>
      <x:c r="Q63" s="2" t="n">
        <x:v>1</x:v>
      </x:c>
      <x:c r="R63" t="str">
        <x:v>Запчасть</x:v>
      </x:c>
      <x:c r="S63" t="str"/>
    </x:row>
    <x:row r="64">
      <x:c r="A64" s="1" t="n">
        <x:v>46252</x:v>
      </x:c>
      <x:c r="B64" t="str">
        <x:v>F</x:v>
      </x:c>
      <x:c r="C64" t="str">
        <x:v>00046369/MAT/26/F</x:v>
      </x:c>
      <x:c r="D64" t="str"/>
      <x:c r="E64" s="2" t="n">
        <x:v>6</x:v>
      </x:c>
      <x:c r="F64" t="str">
        <x:v>8100 X-CLEAN 5W40 C3 5L Olej silnikowy</x:v>
      </x:c>
      <x:c r="G64" t="str">
        <x:v>MOTUL</x:v>
      </x:c>
      <x:c r="H64" s="3" t="n">
        <x:v>1</x:v>
      </x:c>
      <x:c r="I64" s="4" t="n">
        <x:v>184.06</x:v>
      </x:c>
      <x:c r="J64" s="5" t="n">
        <x:v>0.23</x:v>
      </x:c>
      <x:c r="K64" s="4" t="n">
        <x:f>ROUND(H64*I64,2)</x:f>
        <x:v>184.06</x:v>
      </x:c>
      <x:c r="L64" s="4" t="n">
        <x:v>0</x:v>
      </x:c>
      <x:c r="M64" s="4" t="n">
        <x:f>ROUND(K64*J64,2)+L64</x:f>
        <x:v>42.33</x:v>
      </x:c>
      <x:c r="N64" s="4" t="n">
        <x:f>K64+M64</x:f>
        <x:v>226.39</x:v>
      </x:c>
      <x:c r="O64" t="str">
        <x:v>00201496/MAT</x:v>
      </x:c>
      <x:c r="P64" t="str">
        <x:v>Sales confirmation for document 46369.pdf</x:v>
      </x:c>
      <x:c r="Q64" s="2" t="n">
        <x:v>1</x:v>
      </x:c>
      <x:c r="R64" t="str">
        <x:v>Расходник</x:v>
      </x:c>
      <x:c r="S64" t="str">
        <x:v>Моторное масло</x:v>
      </x:c>
    </x:row>
    <x:row r="65">
      <x:c r="A65" s="1" t="n">
        <x:v>46252</x:v>
      </x:c>
      <x:c r="B65" t="str">
        <x:v>F</x:v>
      </x:c>
      <x:c r="C65" t="str">
        <x:v>00046369/MAT/26/F</x:v>
      </x:c>
      <x:c r="D65" t="str"/>
      <x:c r="E65" s="2" t="n">
        <x:v>7</x:v>
      </x:c>
      <x:c r="F65" t="str">
        <x:v>LP1868 Klocek hamulcowy kpl.</x:v>
      </x:c>
      <x:c r="G65" t="str">
        <x:v>DELPHI</x:v>
      </x:c>
      <x:c r="H65" s="3" t="n">
        <x:v>1</x:v>
      </x:c>
      <x:c r="I65" s="4" t="n">
        <x:v>85.59</x:v>
      </x:c>
      <x:c r="J65" s="5" t="n">
        <x:v>0.23</x:v>
      </x:c>
      <x:c r="K65" s="4" t="n">
        <x:f>ROUND(H65*I65,2)</x:f>
        <x:v>85.59</x:v>
      </x:c>
      <x:c r="L65" s="4" t="n">
        <x:v>0</x:v>
      </x:c>
      <x:c r="M65" s="4" t="n">
        <x:f>ROUND(K65*J65,2)+L65</x:f>
        <x:v>19.69</x:v>
      </x:c>
      <x:c r="N65" s="4" t="n">
        <x:f>K65+M65</x:f>
        <x:v>105.28</x:v>
      </x:c>
      <x:c r="O65" t="str"/>
      <x:c r="P65" t="str">
        <x:v>Sales confirmation for document 46369.pdf</x:v>
      </x:c>
      <x:c r="Q65" s="2" t="n">
        <x:v>1</x:v>
      </x:c>
      <x:c r="R65" t="str">
        <x:v>Запчасть</x:v>
      </x:c>
      <x:c r="S65" t="str"/>
    </x:row>
    <x:row r="66">
      <x:c r="A66" s="1" t="n">
        <x:v>46252</x:v>
      </x:c>
      <x:c r="B66" t="str">
        <x:v>F</x:v>
      </x:c>
      <x:c r="C66" t="str">
        <x:v>00046369/MAT/26/F</x:v>
      </x:c>
      <x:c r="D66" t="str"/>
      <x:c r="E66" s="2" t="n">
        <x:v>8</x:v>
      </x:c>
      <x:c r="F66" t="str">
        <x:v>QUARTZ 5W30 I. MC3 5L Olej silnikowy</x:v>
      </x:c>
      <x:c r="G66" t="str">
        <x:v>TOTALENERGIES</x:v>
      </x:c>
      <x:c r="H66" s="3" t="n">
        <x:v>1</x:v>
      </x:c>
      <x:c r="I66" s="4" t="n">
        <x:v>150.82</x:v>
      </x:c>
      <x:c r="J66" s="5" t="n">
        <x:v>0.23</x:v>
      </x:c>
      <x:c r="K66" s="4" t="n">
        <x:f>ROUND(H66*I66,2)</x:f>
        <x:v>150.82</x:v>
      </x:c>
      <x:c r="L66" s="4" t="n">
        <x:v>0</x:v>
      </x:c>
      <x:c r="M66" s="4" t="n">
        <x:f>ROUND(K66*J66,2)+L66</x:f>
        <x:v>34.69</x:v>
      </x:c>
      <x:c r="N66" s="4" t="n">
        <x:f>K66+M66</x:f>
        <x:v>185.51</x:v>
      </x:c>
      <x:c r="O66" t="str">
        <x:v>00201445/MAT</x:v>
      </x:c>
      <x:c r="P66" t="str">
        <x:v>Sales confirmation for document 46369.pdf</x:v>
      </x:c>
      <x:c r="Q66" s="2" t="n">
        <x:v>2</x:v>
      </x:c>
      <x:c r="R66" t="str">
        <x:v>Расходник</x:v>
      </x:c>
      <x:c r="S66" t="str">
        <x:v>Моторное масло</x:v>
      </x:c>
    </x:row>
    <x:row r="67">
      <x:c r="A67" s="1" t="n">
        <x:v>46252</x:v>
      </x:c>
      <x:c r="B67" t="str">
        <x:v>F</x:v>
      </x:c>
      <x:c r="C67" t="str">
        <x:v>00046369/MAT/26/F</x:v>
      </x:c>
      <x:c r="D67" t="str"/>
      <x:c r="E67" s="2" t="n">
        <x:v>9</x:v>
      </x:c>
      <x:c r="F67" t="str">
        <x:v>QUARTZ 5W30 I. MC3 1L Olej silnikowy</x:v>
      </x:c>
      <x:c r="G67" t="str">
        <x:v>TOTALENERGIES</x:v>
      </x:c>
      <x:c r="H67" s="3" t="n">
        <x:v>1</x:v>
      </x:c>
      <x:c r="I67" s="4" t="n">
        <x:v>38.58</x:v>
      </x:c>
      <x:c r="J67" s="5" t="n">
        <x:v>0.23</x:v>
      </x:c>
      <x:c r="K67" s="4" t="n">
        <x:f>ROUND(H67*I67,2)</x:f>
        <x:v>38.58</x:v>
      </x:c>
      <x:c r="L67" s="4" t="n">
        <x:v>0</x:v>
      </x:c>
      <x:c r="M67" s="4" t="n">
        <x:f>ROUND(K67*J67,2)+L67</x:f>
        <x:v>8.87</x:v>
      </x:c>
      <x:c r="N67" s="4" t="n">
        <x:f>K67+M67</x:f>
        <x:v>47.449999999999996</x:v>
      </x:c>
      <x:c r="O67" t="str">
        <x:v>00201445/MAT</x:v>
      </x:c>
      <x:c r="P67" t="str">
        <x:v>Sales confirmation for document 46369.pdf</x:v>
      </x:c>
      <x:c r="Q67" s="2" t="n">
        <x:v>2</x:v>
      </x:c>
      <x:c r="R67" t="str">
        <x:v>Расходник</x:v>
      </x:c>
      <x:c r="S67" t="str">
        <x:v>Моторное масло</x:v>
      </x:c>
    </x:row>
    <x:row r="68">
      <x:c r="A68" s="1" t="n">
        <x:v>46252</x:v>
      </x:c>
      <x:c r="B68" t="str">
        <x:v>F</x:v>
      </x:c>
      <x:c r="C68" t="str">
        <x:v>00046369/MAT/26/F</x:v>
      </x:c>
      <x:c r="D68" t="str"/>
      <x:c r="E68" s="2" t="n">
        <x:v>10</x:v>
      </x:c>
      <x:c r="F68" t="str">
        <x:v>C1M028ABE-P Klocek hamulcowy kpl.</x:v>
      </x:c>
      <x:c r="G68" t="str">
        <x:v>ABE</x:v>
      </x:c>
      <x:c r="H68" s="3" t="n">
        <x:v>1</x:v>
      </x:c>
      <x:c r="I68" s="4" t="n">
        <x:v>80.68</x:v>
      </x:c>
      <x:c r="J68" s="5" t="n">
        <x:v>0.23</x:v>
      </x:c>
      <x:c r="K68" s="4" t="n">
        <x:f>ROUND(H68*I68,2)</x:f>
        <x:v>80.68</x:v>
      </x:c>
      <x:c r="L68" s="4" t="n">
        <x:v>0</x:v>
      </x:c>
      <x:c r="M68" s="4" t="n">
        <x:f>ROUND(K68*J68,2)+L68</x:f>
        <x:v>18.56</x:v>
      </x:c>
      <x:c r="N68" s="4" t="n">
        <x:f>K68+M68</x:f>
        <x:v>99.24000000000001</x:v>
      </x:c>
      <x:c r="O68" t="str">
        <x:v>00201360/MAT</x:v>
      </x:c>
      <x:c r="P68" t="str">
        <x:v>Sales confirmation for document 46369.pdf</x:v>
      </x:c>
      <x:c r="Q68" s="2" t="n">
        <x:v>2</x:v>
      </x:c>
      <x:c r="R68" t="str">
        <x:v>Запчасть</x:v>
      </x:c>
      <x:c r="S68" t="str"/>
    </x:row>
    <x:row r="69">
      <x:c r="A69" s="1" t="n">
        <x:v>46252</x:v>
      </x:c>
      <x:c r="B69" t="str">
        <x:v>F</x:v>
      </x:c>
      <x:c r="C69" t="str">
        <x:v>00046369/MAT/26/F</x:v>
      </x:c>
      <x:c r="D69" t="str"/>
      <x:c r="E69" s="2" t="n">
        <x:v>11</x:v>
      </x:c>
      <x:c r="F69" t="str">
        <x:v>VAL MV COOLANT RTU 1L Płyn do chłodnic (1L), żółty,</x:v>
      </x:c>
      <x:c r="G69" t="str">
        <x:v>VALVOLINE</x:v>
      </x:c>
      <x:c r="H69" s="3" t="n">
        <x:v>1</x:v>
      </x:c>
      <x:c r="I69" s="4" t="n">
        <x:v>26.72</x:v>
      </x:c>
      <x:c r="J69" s="5" t="n">
        <x:v>0.23</x:v>
      </x:c>
      <x:c r="K69" s="4" t="n">
        <x:f>ROUND(H69*I69,2)</x:f>
        <x:v>26.72</x:v>
      </x:c>
      <x:c r="L69" s="4" t="n">
        <x:v>0</x:v>
      </x:c>
      <x:c r="M69" s="4" t="n">
        <x:f>ROUND(K69*J69,2)+L69</x:f>
        <x:v>6.15</x:v>
      </x:c>
      <x:c r="N69" s="4" t="n">
        <x:f>K69+M69</x:f>
        <x:v>32.87</x:v>
      </x:c>
      <x:c r="O69" t="str">
        <x:v>00201445/MAT</x:v>
      </x:c>
      <x:c r="P69" t="str">
        <x:v>Sales confirmation for document 46369.pdf</x:v>
      </x:c>
      <x:c r="Q69" s="2" t="n">
        <x:v>2</x:v>
      </x:c>
      <x:c r="R69" t="str">
        <x:v>Расходник</x:v>
      </x:c>
      <x:c r="S69" t="str">
        <x:v>Охлаждающая жидкость</x:v>
      </x:c>
    </x:row>
    <x:row r="70">
      <x:c r="A70" s="1" t="n">
        <x:v>46252</x:v>
      </x:c>
      <x:c r="B70" t="str">
        <x:v>F</x:v>
      </x:c>
      <x:c r="C70" t="str">
        <x:v>00046369/MAT/26/F</x:v>
      </x:c>
      <x:c r="D70" t="str"/>
      <x:c r="E70" s="2" t="n">
        <x:v>12</x:v>
      </x:c>
      <x:c r="F70" t="str">
        <x:v>VAL MV COOLANT RTU 5L Płyn do chłodnic (5L), żółty,</x:v>
      </x:c>
      <x:c r="G70" t="str">
        <x:v>VALVOLINE</x:v>
      </x:c>
      <x:c r="H70" s="3" t="n">
        <x:v>1</x:v>
      </x:c>
      <x:c r="I70" s="4" t="n">
        <x:v>117.83</x:v>
      </x:c>
      <x:c r="J70" s="5" t="n">
        <x:v>0.23</x:v>
      </x:c>
      <x:c r="K70" s="4" t="n">
        <x:f>ROUND(H70*I70,2)</x:f>
        <x:v>117.83</x:v>
      </x:c>
      <x:c r="L70" s="4" t="n">
        <x:v>-0.01</x:v>
      </x:c>
      <x:c r="M70" s="4" t="n">
        <x:f>ROUND(K70*J70,2)+L70</x:f>
        <x:v>27.09</x:v>
      </x:c>
      <x:c r="N70" s="4" t="n">
        <x:f>K70+M70</x:f>
        <x:v>144.92</x:v>
      </x:c>
      <x:c r="O70" t="str">
        <x:v>00201445/MAT</x:v>
      </x:c>
      <x:c r="P70" t="str">
        <x:v>Sales confirmation for document 46369.pdf</x:v>
      </x:c>
      <x:c r="Q70" s="2" t="n">
        <x:v>2</x:v>
      </x:c>
      <x:c r="R70" t="str">
        <x:v>Расходник</x:v>
      </x:c>
      <x:c r="S70" t="str">
        <x:v>Охлаждающая жидкость</x:v>
      </x:c>
    </x:row>
    <x:row r="71">
      <x:c r="A71" s="1" t="n">
        <x:v>46252</x:v>
      </x:c>
      <x:c r="B71" t="str">
        <x:v>F</x:v>
      </x:c>
      <x:c r="C71" t="str">
        <x:v>00046432/MAT/26/F</x:v>
      </x:c>
      <x:c r="D71" t="str"/>
      <x:c r="E71" s="2" t="n">
        <x:v>1</x:v>
      </x:c>
      <x:c r="F71" t="str">
        <x:v>LP1791 Klocek hamulcowy kpl.</x:v>
      </x:c>
      <x:c r="G71" t="str">
        <x:v>DELPHI</x:v>
      </x:c>
      <x:c r="H71" s="3" t="n">
        <x:v>1</x:v>
      </x:c>
      <x:c r="I71" s="4" t="n">
        <x:v>119.31</x:v>
      </x:c>
      <x:c r="J71" s="5" t="n">
        <x:v>0.23</x:v>
      </x:c>
      <x:c r="K71" s="4" t="n">
        <x:f>ROUND(H71*I71,2)</x:f>
        <x:v>119.31</x:v>
      </x:c>
      <x:c r="L71" s="4" t="n">
        <x:v>0</x:v>
      </x:c>
      <x:c r="M71" s="4" t="n">
        <x:f>ROUND(K71*J71,2)+L71</x:f>
        <x:v>27.44</x:v>
      </x:c>
      <x:c r="N71" s="4" t="n">
        <x:f>K71+M71</x:f>
        <x:v>146.75</x:v>
      </x:c>
      <x:c r="O71" t="str">
        <x:v>00201638/MAT</x:v>
      </x:c>
      <x:c r="P71" t="str">
        <x:v>Sales confirmation for document 46432.pdf</x:v>
      </x:c>
      <x:c r="Q71" s="2" t="n">
        <x:v>1</x:v>
      </x:c>
      <x:c r="R71" t="str">
        <x:v>Запчасть</x:v>
      </x:c>
      <x:c r="S71" t="str"/>
    </x:row>
    <x:row r="72">
      <x:c r="A72" s="1" t="n">
        <x:v>46252</x:v>
      </x:c>
      <x:c r="B72" t="str">
        <x:v>F</x:v>
      </x:c>
      <x:c r="C72" t="str">
        <x:v>00046432/MAT/26/F</x:v>
      </x:c>
      <x:c r="D72" t="str"/>
      <x:c r="E72" s="2" t="n">
        <x:v>2</x:v>
      </x:c>
      <x:c r="F72" t="str">
        <x:v>K04W018AKN Stacyjka zapłonu</x:v>
      </x:c>
      <x:c r="G72" t="str">
        <x:v>AKUSAN</x:v>
      </x:c>
      <x:c r="H72" s="3" t="n">
        <x:v>1</x:v>
      </x:c>
      <x:c r="I72" s="4" t="n">
        <x:v>109.09</x:v>
      </x:c>
      <x:c r="J72" s="5" t="n">
        <x:v>0.23</x:v>
      </x:c>
      <x:c r="K72" s="4" t="n">
        <x:f>ROUND(H72*I72,2)</x:f>
        <x:v>109.09</x:v>
      </x:c>
      <x:c r="L72" s="4" t="n">
        <x:v>0</x:v>
      </x:c>
      <x:c r="M72" s="4" t="n">
        <x:f>ROUND(K72*J72,2)+L72</x:f>
        <x:v>25.09</x:v>
      </x:c>
      <x:c r="N72" s="4" t="n">
        <x:f>K72+M72</x:f>
        <x:v>134.18</x:v>
      </x:c>
      <x:c r="O72" t="str">
        <x:v>00201546/MAT</x:v>
      </x:c>
      <x:c r="P72" t="str">
        <x:v>Sales confirmation for document 46432.pdf</x:v>
      </x:c>
      <x:c r="Q72" s="2" t="n">
        <x:v>1</x:v>
      </x:c>
      <x:c r="R72" t="str">
        <x:v>Запчасть</x:v>
      </x:c>
      <x:c r="S72" t="str"/>
    </x:row>
    <x:row r="73">
      <x:c r="A73" s="1" t="n">
        <x:v>46252</x:v>
      </x:c>
      <x:c r="B73" t="str">
        <x:v>F</x:v>
      </x:c>
      <x:c r="C73" t="str">
        <x:v>00046432/MAT/26/F</x:v>
      </x:c>
      <x:c r="D73" t="str"/>
      <x:c r="E73" s="2" t="n">
        <x:v>3</x:v>
      </x:c>
      <x:c r="F73" t="str">
        <x:v>HEPTM7003 Przewód plastikowy układu chłodzenia (od</x:v>
      </x:c>
      <x:c r="G73" t="str">
        <x:v>HEPU</x:v>
      </x:c>
      <x:c r="H73" s="3" t="n">
        <x:v>1</x:v>
      </x:c>
      <x:c r="I73" s="4" t="n">
        <x:v>148.63</x:v>
      </x:c>
      <x:c r="J73" s="5" t="n">
        <x:v>0.23</x:v>
      </x:c>
      <x:c r="K73" s="4" t="n">
        <x:f>ROUND(H73*I73,2)</x:f>
        <x:v>148.63</x:v>
      </x:c>
      <x:c r="L73" s="4" t="n">
        <x:v>0.01</x:v>
      </x:c>
      <x:c r="M73" s="4" t="n">
        <x:f>ROUND(K73*J73,2)+L73</x:f>
        <x:v>34.19</x:v>
      </x:c>
      <x:c r="N73" s="4" t="n">
        <x:f>K73+M73</x:f>
        <x:v>182.82</x:v>
      </x:c>
      <x:c r="O73" t="str">
        <x:v>00201664/MAT</x:v>
      </x:c>
      <x:c r="P73" t="str">
        <x:v>Sales confirmation for document 46432.pdf</x:v>
      </x:c>
      <x:c r="Q73" s="2" t="n">
        <x:v>1</x:v>
      </x:c>
      <x:c r="R73" t="str">
        <x:v>Запчасть</x:v>
      </x:c>
      <x:c r="S73" t="str"/>
    </x:row>
    <x:row r="74">
      <x:c r="A74" s="1" t="n">
        <x:v>46253</x:v>
      </x:c>
      <x:c r="B74" t="str">
        <x:v>F</x:v>
      </x:c>
      <x:c r="C74" t="str">
        <x:v>00046501/MAT/26/F</x:v>
      </x:c>
      <x:c r="D74" t="str"/>
      <x:c r="E74" s="2" t="n">
        <x:v>1</x:v>
      </x:c>
      <x:c r="F74" t="str">
        <x:v>0 258 006 046 Sonda lambda</x:v>
      </x:c>
      <x:c r="G74" t="str">
        <x:v>BOSCH</x:v>
      </x:c>
      <x:c r="H74" s="3" t="n">
        <x:v>1</x:v>
      </x:c>
      <x:c r="I74" s="4" t="n">
        <x:v>140.45</x:v>
      </x:c>
      <x:c r="J74" s="5" t="n">
        <x:v>0.23</x:v>
      </x:c>
      <x:c r="K74" s="4" t="n">
        <x:f>ROUND(H74*I74,2)</x:f>
        <x:v>140.45</x:v>
      </x:c>
      <x:c r="L74" s="4" t="n">
        <x:v>0</x:v>
      </x:c>
      <x:c r="M74" s="4" t="n">
        <x:f>ROUND(K74*J74,2)+L74</x:f>
        <x:v>32.3</x:v>
      </x:c>
      <x:c r="N74" s="4" t="n">
        <x:f>K74+M74</x:f>
        <x:v>172.75</x:v>
      </x:c>
      <x:c r="O74" t="str">
        <x:v>00202212/MAT</x:v>
      </x:c>
      <x:c r="P74" t="str">
        <x:v>Sales confirmation for document 46501.pdf</x:v>
      </x:c>
      <x:c r="Q74" s="2" t="n">
        <x:v>1</x:v>
      </x:c>
      <x:c r="R74" t="str">
        <x:v>Запчасть</x:v>
      </x:c>
      <x:c r="S74" t="str"/>
    </x:row>
    <x:row r="75">
      <x:c r="A75" s="1" t="n">
        <x:v>46253</x:v>
      </x:c>
      <x:c r="B75" t="str">
        <x:v>F</x:v>
      </x:c>
      <x:c r="C75" t="str">
        <x:v>00046501/MAT/26/F</x:v>
      </x:c>
      <x:c r="D75" t="str"/>
      <x:c r="E75" s="2" t="n">
        <x:v>2</x:v>
      </x:c>
      <x:c r="F75" t="str">
        <x:v>A2C59513360Z Czujnik położenia wału korbowego</x:v>
      </x:c>
      <x:c r="G75" t="str">
        <x:v>VDO</x:v>
      </x:c>
      <x:c r="H75" s="3" t="n">
        <x:v>1</x:v>
      </x:c>
      <x:c r="I75" s="4" t="n">
        <x:v>86.29</x:v>
      </x:c>
      <x:c r="J75" s="5" t="n">
        <x:v>0.23</x:v>
      </x:c>
      <x:c r="K75" s="4" t="n">
        <x:f>ROUND(H75*I75,2)</x:f>
        <x:v>86.29</x:v>
      </x:c>
      <x:c r="L75" s="4" t="n">
        <x:v>0</x:v>
      </x:c>
      <x:c r="M75" s="4" t="n">
        <x:f>ROUND(K75*J75,2)+L75</x:f>
        <x:v>19.85</x:v>
      </x:c>
      <x:c r="N75" s="4" t="n">
        <x:f>K75+M75</x:f>
        <x:v>106.14000000000001</x:v>
      </x:c>
      <x:c r="O75" t="str">
        <x:v>00202338/MAT</x:v>
      </x:c>
      <x:c r="P75" t="str">
        <x:v>Sales confirmation for document 46501.pdf</x:v>
      </x:c>
      <x:c r="Q75" s="2" t="n">
        <x:v>1</x:v>
      </x:c>
      <x:c r="R75" t="str">
        <x:v>Запчасть</x:v>
      </x:c>
      <x:c r="S75" t="str"/>
    </x:row>
    <x:row r="76">
      <x:c r="A76" s="1" t="n">
        <x:v>46253</x:v>
      </x:c>
      <x:c r="B76" t="str">
        <x:v>F</x:v>
      </x:c>
      <x:c r="C76" t="str">
        <x:v>00046501/MAT/26/F</x:v>
      </x:c>
      <x:c r="D76" t="str"/>
      <x:c r="E76" s="2" t="n">
        <x:v>3</x:v>
      </x:c>
      <x:c r="F76" t="str">
        <x:v>ES20311-12B1 Sonda lambda</x:v>
      </x:c>
      <x:c r="G76" t="str">
        <x:v>DELPHI</x:v>
      </x:c>
      <x:c r="H76" s="3" t="n">
        <x:v>2</x:v>
      </x:c>
      <x:c r="I76" s="4" t="n">
        <x:v>136.91</x:v>
      </x:c>
      <x:c r="J76" s="5" t="n">
        <x:v>0.23</x:v>
      </x:c>
      <x:c r="K76" s="4" t="n">
        <x:f>ROUND(H76*I76,2)</x:f>
        <x:v>273.82</x:v>
      </x:c>
      <x:c r="L76" s="4" t="n">
        <x:v>0</x:v>
      </x:c>
      <x:c r="M76" s="4" t="n">
        <x:f>ROUND(K76*J76,2)+L76</x:f>
        <x:v>62.98</x:v>
      </x:c>
      <x:c r="N76" s="4" t="n">
        <x:f>K76+M76</x:f>
        <x:v>336.8</x:v>
      </x:c>
      <x:c r="O76" t="str">
        <x:v>00202212/MAT</x:v>
      </x:c>
      <x:c r="P76" t="str">
        <x:v>Sales confirmation for document 46501.pdf</x:v>
      </x:c>
      <x:c r="Q76" s="2" t="n">
        <x:v>1</x:v>
      </x:c>
      <x:c r="R76" t="str">
        <x:v>Запчасть</x:v>
      </x:c>
      <x:c r="S76" t="str"/>
    </x:row>
    <x:row r="77">
      <x:c r="A77" s="1" t="n">
        <x:v>46253</x:v>
      </x:c>
      <x:c r="B77" t="str">
        <x:v>F</x:v>
      </x:c>
      <x:c r="C77" t="str">
        <x:v>00046501/MAT/26/F</x:v>
      </x:c>
      <x:c r="D77" t="str"/>
      <x:c r="E77" s="2" t="n">
        <x:v>4</x:v>
      </x:c>
      <x:c r="F77" t="str">
        <x:v>VAL254070 Czujnik położenia wału korbowego</x:v>
      </x:c>
      <x:c r="G77" t="str">
        <x:v>VALEO</x:v>
      </x:c>
      <x:c r="H77" s="3" t="n">
        <x:v>1</x:v>
      </x:c>
      <x:c r="I77" s="4" t="n">
        <x:v>22.71</x:v>
      </x:c>
      <x:c r="J77" s="5" t="n">
        <x:v>0.23</x:v>
      </x:c>
      <x:c r="K77" s="4" t="n">
        <x:f>ROUND(H77*I77,2)</x:f>
        <x:v>22.71</x:v>
      </x:c>
      <x:c r="L77" s="4" t="n">
        <x:v>0</x:v>
      </x:c>
      <x:c r="M77" s="4" t="n">
        <x:f>ROUND(K77*J77,2)+L77</x:f>
        <x:v>5.22</x:v>
      </x:c>
      <x:c r="N77" s="4" t="n">
        <x:f>K77+M77</x:f>
        <x:v>27.93</x:v>
      </x:c>
      <x:c r="O77" t="str">
        <x:v>00202214/MAT</x:v>
      </x:c>
      <x:c r="P77" t="str">
        <x:v>Sales confirmation for document 46501.pdf</x:v>
      </x:c>
      <x:c r="Q77" s="2" t="n">
        <x:v>1</x:v>
      </x:c>
      <x:c r="R77" t="str">
        <x:v>Запчасть</x:v>
      </x:c>
      <x:c r="S77" t="str"/>
    </x:row>
    <x:row r="78">
      <x:c r="A78" s="1" t="n">
        <x:v>46253</x:v>
      </x:c>
      <x:c r="B78" t="str">
        <x:v>F</x:v>
      </x:c>
      <x:c r="C78" t="str">
        <x:v>00046618/MAT/26/F</x:v>
      </x:c>
      <x:c r="D78" t="str"/>
      <x:c r="E78" s="2" t="n">
        <x:v>1</x:v>
      </x:c>
      <x:c r="F78" t="str">
        <x:v>ENT250543 Uszczelka przeciwpyłowa wtryskiwacza CR</x:v>
      </x:c>
      <x:c r="G78" t="str">
        <x:v>ENGITECH</x:v>
      </x:c>
      <x:c r="H78" s="3" t="n">
        <x:v>1</x:v>
      </x:c>
      <x:c r="I78" s="4" t="n">
        <x:v>22.35</x:v>
      </x:c>
      <x:c r="J78" s="5" t="n">
        <x:v>0.23</x:v>
      </x:c>
      <x:c r="K78" s="4" t="n">
        <x:f>ROUND(H78*I78,2)</x:f>
        <x:v>22.35</x:v>
      </x:c>
      <x:c r="L78" s="4" t="n">
        <x:v>0</x:v>
      </x:c>
      <x:c r="M78" s="4" t="n">
        <x:f>ROUND(K78*J78,2)+L78</x:f>
        <x:v>5.14</x:v>
      </x:c>
      <x:c r="N78" s="4" t="n">
        <x:f>K78+M78</x:f>
        <x:v>27.490000000000002</x:v>
      </x:c>
      <x:c r="O78" t="str">
        <x:v>00202579/MAT</x:v>
      </x:c>
      <x:c r="P78" t="str">
        <x:v>Sales confirmation for document 46618.pdf</x:v>
      </x:c>
      <x:c r="Q78" s="2" t="n">
        <x:v>1</x:v>
      </x:c>
      <x:c r="R78" t="str">
        <x:v>Запчасть</x:v>
      </x:c>
      <x:c r="S78" t="str"/>
    </x:row>
    <x:row r="79">
      <x:c r="A79" s="1" t="n">
        <x:v>46253</x:v>
      </x:c>
      <x:c r="B79" t="str">
        <x:v>FK</x:v>
      </x:c>
      <x:c r="C79" t="str">
        <x:v>00012578/MAT/26/FK</x:v>
      </x:c>
      <x:c r="D79" t="str">
        <x:v>00046501/MAT/26/F</x:v>
      </x:c>
      <x:c r="E79" s="2" t="n">
        <x:v>1</x:v>
      </x:c>
      <x:c r="F79" t="str">
        <x:v>A2C59513360Z Czujnik położenia wału korbowego</x:v>
      </x:c>
      <x:c r="G79" t="str">
        <x:v>VDO</x:v>
      </x:c>
      <x:c r="H79" s="3" t="n">
        <x:v>-1</x:v>
      </x:c>
      <x:c r="I79" s="4" t="n">
        <x:v>86.29</x:v>
      </x:c>
      <x:c r="J79" s="5" t="n">
        <x:v>0.23</x:v>
      </x:c>
      <x:c r="K79" s="4" t="n">
        <x:f>ROUND(H79*I79,2)</x:f>
        <x:v>-86.29</x:v>
      </x:c>
      <x:c r="L79" s="4" t="n">
        <x:v>0</x:v>
      </x:c>
      <x:c r="M79" s="4" t="n">
        <x:f>ROUND(K79*J79,2)+L79</x:f>
        <x:v>-19.85</x:v>
      </x:c>
      <x:c r="N79" s="4" t="n">
        <x:f>K79+M79</x:f>
        <x:v>-106.14000000000001</x:v>
      </x:c>
      <x:c r="O79" t="str"/>
      <x:c r="P79" t="str">
        <x:v>Sales confirmation for document 12578(1).pdf</x:v>
      </x:c>
      <x:c r="Q79" s="2" t="n">
        <x:v>1</x:v>
      </x:c>
      <x:c r="R79" t="str">
        <x:v>Запчасть</x:v>
      </x:c>
      <x:c r="S79" t="str"/>
    </x:row>
    <x:row r="80">
      <x:c r="A80" s="1" t="n">
        <x:v>46253</x:v>
      </x:c>
      <x:c r="B80" t="str">
        <x:v>FK</x:v>
      </x:c>
      <x:c r="C80" t="str">
        <x:v>00012578/MAT/26/FK</x:v>
      </x:c>
      <x:c r="D80" t="str">
        <x:v>00046501/MAT/26/F</x:v>
      </x:c>
      <x:c r="E80" s="2" t="n">
        <x:v>3</x:v>
      </x:c>
      <x:c r="F80" t="str">
        <x:v>ES20311-12B1 Sonda lambda</x:v>
      </x:c>
      <x:c r="G80" t="str">
        <x:v>DELPHI</x:v>
      </x:c>
      <x:c r="H80" s="3" t="n">
        <x:v>-2</x:v>
      </x:c>
      <x:c r="I80" s="4" t="n">
        <x:v>136.91</x:v>
      </x:c>
      <x:c r="J80" s="5" t="n">
        <x:v>0.23</x:v>
      </x:c>
      <x:c r="K80" s="4" t="n">
        <x:f>ROUND(H80*I80,2)</x:f>
        <x:v>-273.82</x:v>
      </x:c>
      <x:c r="L80" s="4" t="n">
        <x:v>0</x:v>
      </x:c>
      <x:c r="M80" s="4" t="n">
        <x:f>ROUND(K80*J80,2)+L80</x:f>
        <x:v>-62.98</x:v>
      </x:c>
      <x:c r="N80" s="4" t="n">
        <x:f>K80+M80</x:f>
        <x:v>-336.8</x:v>
      </x:c>
      <x:c r="O80" t="str"/>
      <x:c r="P80" t="str">
        <x:v>Sales confirmation for document 12578(1).pdf</x:v>
      </x:c>
      <x:c r="Q80" s="2" t="n">
        <x:v>1</x:v>
      </x:c>
      <x:c r="R80" t="str">
        <x:v>Запчасть</x:v>
      </x:c>
      <x:c r="S80" t="str"/>
    </x:row>
    <x:row r="81">
      <x:c r="A81" s="1" t="n">
        <x:v>46253</x:v>
      </x:c>
      <x:c r="B81" t="str">
        <x:v>FK</x:v>
      </x:c>
      <x:c r="C81" t="str">
        <x:v>00012578/MAT/26/FK</x:v>
      </x:c>
      <x:c r="D81" t="str">
        <x:v>00046501/MAT/26/F</x:v>
      </x:c>
      <x:c r="E81" s="2" t="n">
        <x:v>4</x:v>
      </x:c>
      <x:c r="F81" t="str">
        <x:v>ES20311-12B1 Sonda lambda</x:v>
      </x:c>
      <x:c r="G81" t="str">
        <x:v>DELPHI</x:v>
      </x:c>
      <x:c r="H81" s="3" t="n">
        <x:v>1</x:v>
      </x:c>
      <x:c r="I81" s="4" t="n">
        <x:v>136.91</x:v>
      </x:c>
      <x:c r="J81" s="5" t="n">
        <x:v>0.23</x:v>
      </x:c>
      <x:c r="K81" s="4" t="n">
        <x:f>ROUND(H81*I81,2)</x:f>
        <x:v>136.91</x:v>
      </x:c>
      <x:c r="L81" s="4" t="n">
        <x:v>0</x:v>
      </x:c>
      <x:c r="M81" s="4" t="n">
        <x:f>ROUND(K81*J81,2)+L81</x:f>
        <x:v>31.49</x:v>
      </x:c>
      <x:c r="N81" s="4" t="n">
        <x:f>K81+M81</x:f>
        <x:v>168.4</x:v>
      </x:c>
      <x:c r="O81" t="str"/>
      <x:c r="P81" t="str">
        <x:v>Sales confirmation for document 12578(1).pdf</x:v>
      </x:c>
      <x:c r="Q81" s="2" t="n">
        <x:v>1</x:v>
      </x:c>
      <x:c r="R81" t="str">
        <x:v>Запчасть</x:v>
      </x:c>
      <x:c r="S81" t="str"/>
    </x:row>
    <x:row r="82">
      <x:c r="A82" s="1" t="n">
        <x:v>46254</x:v>
      </x:c>
      <x:c r="B82" t="str">
        <x:v>F</x:v>
      </x:c>
      <x:c r="C82" t="str">
        <x:v>00046763/MAT/26/F</x:v>
      </x:c>
      <x:c r="D82" t="str"/>
      <x:c r="E82" s="2" t="n">
        <x:v>1</x:v>
      </x:c>
      <x:c r="F82" t="str">
        <x:v>GDB1540 Klocek hamulcowy kpl.</x:v>
      </x:c>
      <x:c r="G82" t="str">
        <x:v>TRW</x:v>
      </x:c>
      <x:c r="H82" s="3" t="n">
        <x:v>1</x:v>
      </x:c>
      <x:c r="I82" s="4" t="n">
        <x:v>95.18</x:v>
      </x:c>
      <x:c r="J82" s="5" t="n">
        <x:v>0.23</x:v>
      </x:c>
      <x:c r="K82" s="4" t="n">
        <x:f>ROUND(H82*I82,2)</x:f>
        <x:v>95.18</x:v>
      </x:c>
      <x:c r="L82" s="4" t="n">
        <x:v>0</x:v>
      </x:c>
      <x:c r="M82" s="4" t="n">
        <x:f>ROUND(K82*J82,2)+L82</x:f>
        <x:v>21.89</x:v>
      </x:c>
      <x:c r="N82" s="4" t="n">
        <x:f>K82+M82</x:f>
        <x:v>117.07000000000001</x:v>
      </x:c>
      <x:c r="O82" t="str">
        <x:v>00203437/MAT</x:v>
      </x:c>
      <x:c r="P82" t="str">
        <x:v>Sales confirmation for document 46763.pdf</x:v>
      </x:c>
      <x:c r="Q82" s="2" t="n">
        <x:v>1</x:v>
      </x:c>
      <x:c r="R82" t="str">
        <x:v>Запчасть</x:v>
      </x:c>
      <x:c r="S82" t="str"/>
    </x:row>
    <x:row r="83">
      <x:c r="A83" s="1" t="n">
        <x:v>46254</x:v>
      </x:c>
      <x:c r="B83" t="str">
        <x:v>F</x:v>
      </x:c>
      <x:c r="C83" t="str">
        <x:v>00046763/MAT/26/F</x:v>
      </x:c>
      <x:c r="D83" t="str"/>
      <x:c r="E83" s="2" t="n">
        <x:v>2</x:v>
      </x:c>
      <x:c r="F83" t="str">
        <x:v>C3R027ABE Tarcza hamulcowa</x:v>
      </x:c>
      <x:c r="G83" t="str">
        <x:v>ABE</x:v>
      </x:c>
      <x:c r="H83" s="3" t="n">
        <x:v>2</x:v>
      </x:c>
      <x:c r="I83" s="4" t="n">
        <x:v>75.87</x:v>
      </x:c>
      <x:c r="J83" s="5" t="n">
        <x:v>0.23</x:v>
      </x:c>
      <x:c r="K83" s="4" t="n">
        <x:f>ROUND(H83*I83,2)</x:f>
        <x:v>151.74</x:v>
      </x:c>
      <x:c r="L83" s="4" t="n">
        <x:v>0</x:v>
      </x:c>
      <x:c r="M83" s="4" t="n">
        <x:f>ROUND(K83*J83,2)+L83</x:f>
        <x:v>34.9</x:v>
      </x:c>
      <x:c r="N83" s="4" t="n">
        <x:f>K83+M83</x:f>
        <x:v>186.64000000000001</x:v>
      </x:c>
      <x:c r="O83" t="str">
        <x:v>00203568/MAT</x:v>
      </x:c>
      <x:c r="P83" t="str">
        <x:v>Sales confirmation for document 46763.pdf</x:v>
      </x:c>
      <x:c r="Q83" s="2" t="n">
        <x:v>1</x:v>
      </x:c>
      <x:c r="R83" t="str">
        <x:v>Запчасть</x:v>
      </x:c>
      <x:c r="S83" t="str"/>
    </x:row>
    <x:row r="84">
      <x:c r="A84" s="1" t="n">
        <x:v>46254</x:v>
      </x:c>
      <x:c r="B84" t="str">
        <x:v>F</x:v>
      </x:c>
      <x:c r="C84" t="str">
        <x:v>00046763/MAT/26/F</x:v>
      </x:c>
      <x:c r="D84" t="str"/>
      <x:c r="E84" s="2" t="n">
        <x:v>3</x:v>
      </x:c>
      <x:c r="F84" t="str">
        <x:v>DDF1364C-1 Tarcza hamulcowa</x:v>
      </x:c>
      <x:c r="G84" t="str">
        <x:v>FERODO</x:v>
      </x:c>
      <x:c r="H84" s="3" t="n">
        <x:v>2</x:v>
      </x:c>
      <x:c r="I84" s="4" t="n">
        <x:v>139.8</x:v>
      </x:c>
      <x:c r="J84" s="5" t="n">
        <x:v>0.23</x:v>
      </x:c>
      <x:c r="K84" s="4" t="n">
        <x:f>ROUND(H84*I84,2)</x:f>
        <x:v>279.6</x:v>
      </x:c>
      <x:c r="L84" s="4" t="n">
        <x:v>0</x:v>
      </x:c>
      <x:c r="M84" s="4" t="n">
        <x:f>ROUND(K84*J84,2)+L84</x:f>
        <x:v>64.31</x:v>
      </x:c>
      <x:c r="N84" s="4" t="n">
        <x:f>K84+M84</x:f>
        <x:v>343.91</x:v>
      </x:c>
      <x:c r="O84" t="str">
        <x:v>00203568/MAT</x:v>
      </x:c>
      <x:c r="P84" t="str">
        <x:v>Sales confirmation for document 46763.pdf</x:v>
      </x:c>
      <x:c r="Q84" s="2" t="n">
        <x:v>1</x:v>
      </x:c>
      <x:c r="R84" t="str">
        <x:v>Запчасть</x:v>
      </x:c>
      <x:c r="S84" t="str"/>
    </x:row>
    <x:row r="85">
      <x:c r="A85" s="1" t="n">
        <x:v>46254</x:v>
      </x:c>
      <x:c r="B85" t="str">
        <x:v>F</x:v>
      </x:c>
      <x:c r="C85" t="str">
        <x:v>00046763/MAT/26/F</x:v>
      </x:c>
      <x:c r="D85" t="str"/>
      <x:c r="E85" s="2" t="n">
        <x:v>4</x:v>
      </x:c>
      <x:c r="F85" t="str">
        <x:v>C2X012ABE-P Klocki hamulcowe kpl. tył , pasuje do: FORD</x:v>
      </x:c>
      <x:c r="G85" t="str">
        <x:v>ABE</x:v>
      </x:c>
      <x:c r="H85" s="3" t="n">
        <x:v>1</x:v>
      </x:c>
      <x:c r="I85" s="4" t="n">
        <x:v>47.67</x:v>
      </x:c>
      <x:c r="J85" s="5" t="n">
        <x:v>0.23</x:v>
      </x:c>
      <x:c r="K85" s="4" t="n">
        <x:f>ROUND(H85*I85,2)</x:f>
        <x:v>47.67</x:v>
      </x:c>
      <x:c r="L85" s="4" t="n">
        <x:v>0</x:v>
      </x:c>
      <x:c r="M85" s="4" t="n">
        <x:f>ROUND(K85*J85,2)+L85</x:f>
        <x:v>10.96</x:v>
      </x:c>
      <x:c r="N85" s="4" t="n">
        <x:f>K85+M85</x:f>
        <x:v>58.63</x:v>
      </x:c>
      <x:c r="O85" t="str">
        <x:v>00203595/MAT</x:v>
      </x:c>
      <x:c r="P85" t="str">
        <x:v>Sales confirmation for document 46763.pdf</x:v>
      </x:c>
      <x:c r="Q85" s="2" t="n">
        <x:v>1</x:v>
      </x:c>
      <x:c r="R85" t="str">
        <x:v>Запчасть</x:v>
      </x:c>
      <x:c r="S85" t="str"/>
    </x:row>
    <x:row r="86">
      <x:c r="A86" s="1" t="n">
        <x:v>46254</x:v>
      </x:c>
      <x:c r="B86" t="str">
        <x:v>F</x:v>
      </x:c>
      <x:c r="C86" t="str">
        <x:v>00046899/MAT/26/F</x:v>
      </x:c>
      <x:c r="D86" t="str"/>
      <x:c r="E86" s="2" t="n">
        <x:v>1</x:v>
      </x:c>
      <x:c r="F86" t="str">
        <x:v>AD41.0236.1 Linka hamulca ręcznego</x:v>
      </x:c>
      <x:c r="G86" t="str">
        <x:v>ADRIAUTO</x:v>
      </x:c>
      <x:c r="H86" s="3" t="n">
        <x:v>2</x:v>
      </x:c>
      <x:c r="I86" s="4" t="n">
        <x:v>25.4</x:v>
      </x:c>
      <x:c r="J86" s="5" t="n">
        <x:v>0.23</x:v>
      </x:c>
      <x:c r="K86" s="4" t="n">
        <x:f>ROUND(H86*I86,2)</x:f>
        <x:v>50.8</x:v>
      </x:c>
      <x:c r="L86" s="4" t="n">
        <x:v>0</x:v>
      </x:c>
      <x:c r="M86" s="4" t="n">
        <x:f>ROUND(K86*J86,2)+L86</x:f>
        <x:v>11.68</x:v>
      </x:c>
      <x:c r="N86" s="4" t="n">
        <x:f>K86+M86</x:f>
        <x:v>62.48</x:v>
      </x:c>
      <x:c r="O86" t="str">
        <x:v>00204214/MAT</x:v>
      </x:c>
      <x:c r="P86" t="str">
        <x:v>Sales confirmation for document 46899.pdf</x:v>
      </x:c>
      <x:c r="Q86" s="2" t="n">
        <x:v>1</x:v>
      </x:c>
      <x:c r="R86" t="str">
        <x:v>Запчасть</x:v>
      </x:c>
      <x:c r="S86" t="str"/>
    </x:row>
    <x:row r="87">
      <x:c r="A87" s="1" t="n">
        <x:v>46254</x:v>
      </x:c>
      <x:c r="B87" t="str">
        <x:v>F</x:v>
      </x:c>
      <x:c r="C87" t="str">
        <x:v>00046899/MAT/26/F</x:v>
      </x:c>
      <x:c r="D87" t="str"/>
      <x:c r="E87" s="2" t="n">
        <x:v>2</x:v>
      </x:c>
      <x:c r="F87" t="str">
        <x:v>BG9026RS Tarcza hamulcowa z łożyskiem</x:v>
      </x:c>
      <x:c r="G87" t="str">
        <x:v>DELPHI</x:v>
      </x:c>
      <x:c r="H87" s="3" t="n">
        <x:v>2</x:v>
      </x:c>
      <x:c r="I87" s="4" t="n">
        <x:v>214.44</x:v>
      </x:c>
      <x:c r="J87" s="5" t="n">
        <x:v>0.23</x:v>
      </x:c>
      <x:c r="K87" s="4" t="n">
        <x:f>ROUND(H87*I87,2)</x:f>
        <x:v>428.88</x:v>
      </x:c>
      <x:c r="L87" s="4" t="n">
        <x:v>0.01</x:v>
      </x:c>
      <x:c r="M87" s="4" t="n">
        <x:f>ROUND(K87*J87,2)+L87</x:f>
        <x:v>98.65</x:v>
      </x:c>
      <x:c r="N87" s="4" t="n">
        <x:f>K87+M87</x:f>
        <x:v>527.53</x:v>
      </x:c>
      <x:c r="O87" t="str">
        <x:v>00204157/MAT</x:v>
      </x:c>
      <x:c r="P87" t="str">
        <x:v>Sales confirmation for document 46899.pdf</x:v>
      </x:c>
      <x:c r="Q87" s="2" t="n">
        <x:v>1</x:v>
      </x:c>
      <x:c r="R87" t="str">
        <x:v>Запчасть</x:v>
      </x:c>
      <x:c r="S87" t="str"/>
    </x:row>
    <x:row r="88">
      <x:c r="A88" s="1" t="n">
        <x:v>46254</x:v>
      </x:c>
      <x:c r="B88" t="str">
        <x:v>F</x:v>
      </x:c>
      <x:c r="C88" t="str">
        <x:v>00046931/MAT/26/F</x:v>
      </x:c>
      <x:c r="D88" t="str"/>
      <x:c r="E88" s="2" t="n">
        <x:v>1</x:v>
      </x:c>
      <x:c r="F88" t="str">
        <x:v>FE23333 Tarcza hamulcowa</x:v>
      </x:c>
      <x:c r="G88" t="str">
        <x:v>FEBI</x:v>
      </x:c>
      <x:c r="H88" s="3" t="n">
        <x:v>2</x:v>
      </x:c>
      <x:c r="I88" s="4" t="n">
        <x:v>144.93</x:v>
      </x:c>
      <x:c r="J88" s="5" t="n">
        <x:v>0.23</x:v>
      </x:c>
      <x:c r="K88" s="4" t="n">
        <x:f>ROUND(H88*I88,2)</x:f>
        <x:v>289.86</x:v>
      </x:c>
      <x:c r="L88" s="4" t="n">
        <x:v>0</x:v>
      </x:c>
      <x:c r="M88" s="4" t="n">
        <x:f>ROUND(K88*J88,2)+L88</x:f>
        <x:v>66.67</x:v>
      </x:c>
      <x:c r="N88" s="4" t="n">
        <x:f>K88+M88</x:f>
        <x:v>356.53000000000003</x:v>
      </x:c>
      <x:c r="O88" t="str">
        <x:v>00204319/MAT</x:v>
      </x:c>
      <x:c r="P88" t="str">
        <x:v>Sales confirmation for document 46931.pdf</x:v>
      </x:c>
      <x:c r="Q88" s="2" t="n">
        <x:v>1</x:v>
      </x:c>
      <x:c r="R88" t="str">
        <x:v>Запчасть</x:v>
      </x:c>
      <x:c r="S88" t="str"/>
    </x:row>
    <x:row r="89">
      <x:c r="A89" s="1" t="n">
        <x:v>46254</x:v>
      </x:c>
      <x:c r="B89" t="str">
        <x:v>F</x:v>
      </x:c>
      <x:c r="C89" t="str">
        <x:v>00046931/MAT/26/F</x:v>
      </x:c>
      <x:c r="D89" t="str"/>
      <x:c r="E89" s="2" t="n">
        <x:v>2</x:v>
      </x:c>
      <x:c r="F89" t="str">
        <x:v>B4W018PR Filtr kabiny</x:v>
      </x:c>
      <x:c r="G89" t="str">
        <x:v>JC PREMIUM</x:v>
      </x:c>
      <x:c r="H89" s="3" t="n">
        <x:v>1</x:v>
      </x:c>
      <x:c r="I89" s="4" t="n">
        <x:v>12.38</x:v>
      </x:c>
      <x:c r="J89" s="5" t="n">
        <x:v>0.23</x:v>
      </x:c>
      <x:c r="K89" s="4" t="n">
        <x:f>ROUND(H89*I89,2)</x:f>
        <x:v>12.38</x:v>
      </x:c>
      <x:c r="L89" s="4" t="n">
        <x:v>0</x:v>
      </x:c>
      <x:c r="M89" s="4" t="n">
        <x:f>ROUND(K89*J89,2)+L89</x:f>
        <x:v>2.85</x:v>
      </x:c>
      <x:c r="N89" s="4" t="n">
        <x:f>K89+M89</x:f>
        <x:v>15.23</x:v>
      </x:c>
      <x:c r="O89" t="str">
        <x:v>00204241/MAT</x:v>
      </x:c>
      <x:c r="P89" t="str">
        <x:v>Sales confirmation for document 46931.pdf</x:v>
      </x:c>
      <x:c r="Q89" s="2" t="n">
        <x:v>1</x:v>
      </x:c>
      <x:c r="R89" t="str">
        <x:v>Запчасть</x:v>
      </x:c>
      <x:c r="S89" t="str"/>
    </x:row>
    <x:row r="90">
      <x:c r="A90" s="1" t="n">
        <x:v>46254</x:v>
      </x:c>
      <x:c r="B90" t="str">
        <x:v>F</x:v>
      </x:c>
      <x:c r="C90" t="str">
        <x:v>00046931/MAT/26/F</x:v>
      </x:c>
      <x:c r="D90" t="str"/>
      <x:c r="E90" s="2" t="n">
        <x:v>3</x:v>
      </x:c>
      <x:c r="F90" t="str">
        <x:v>8100 X-CLEAN+ 5W30 5L Olej silnikowy</x:v>
      </x:c>
      <x:c r="G90" t="str">
        <x:v>MOTUL</x:v>
      </x:c>
      <x:c r="H90" s="3" t="n">
        <x:v>1</x:v>
      </x:c>
      <x:c r="I90" s="4" t="n">
        <x:v>212.52</x:v>
      </x:c>
      <x:c r="J90" s="5" t="n">
        <x:v>0.23</x:v>
      </x:c>
      <x:c r="K90" s="4" t="n">
        <x:f>ROUND(H90*I90,2)</x:f>
        <x:v>212.52</x:v>
      </x:c>
      <x:c r="L90" s="4" t="n">
        <x:v>0</x:v>
      </x:c>
      <x:c r="M90" s="4" t="n">
        <x:f>ROUND(K90*J90,2)+L90</x:f>
        <x:v>48.88</x:v>
      </x:c>
      <x:c r="N90" s="4" t="n">
        <x:f>K90+M90</x:f>
        <x:v>261.40000000000003</x:v>
      </x:c>
      <x:c r="O90" t="str">
        <x:v>00204241/MAT</x:v>
      </x:c>
      <x:c r="P90" t="str">
        <x:v>Sales confirmation for document 46931.pdf</x:v>
      </x:c>
      <x:c r="Q90" s="2" t="n">
        <x:v>1</x:v>
      </x:c>
      <x:c r="R90" t="str">
        <x:v>Расходник</x:v>
      </x:c>
      <x:c r="S90" t="str">
        <x:v>Моторное масло</x:v>
      </x:c>
    </x:row>
    <x:row r="91">
      <x:c r="A91" s="1" t="n">
        <x:v>46254</x:v>
      </x:c>
      <x:c r="B91" t="str">
        <x:v>F</x:v>
      </x:c>
      <x:c r="C91" t="str">
        <x:v>00046931/MAT/26/F</x:v>
      </x:c>
      <x:c r="D91" t="str"/>
      <x:c r="E91" s="2" t="n">
        <x:v>4</x:v>
      </x:c>
      <x:c r="F91" t="str">
        <x:v>PUR-PO0000 Filtr oleju</x:v>
      </x:c>
      <x:c r="G91" t="str">
        <x:v>PURRO</x:v>
      </x:c>
      <x:c r="H91" s="3" t="n">
        <x:v>1</x:v>
      </x:c>
      <x:c r="I91" s="4" t="n">
        <x:v>8.81</x:v>
      </x:c>
      <x:c r="J91" s="5" t="n">
        <x:v>0.23</x:v>
      </x:c>
      <x:c r="K91" s="4" t="n">
        <x:f>ROUND(H91*I91,2)</x:f>
        <x:v>8.81</x:v>
      </x:c>
      <x:c r="L91" s="4" t="n">
        <x:v>0</x:v>
      </x:c>
      <x:c r="M91" s="4" t="n">
        <x:f>ROUND(K91*J91,2)+L91</x:f>
        <x:v>2.03</x:v>
      </x:c>
      <x:c r="N91" s="4" t="n">
        <x:f>K91+M91</x:f>
        <x:v>10.84</x:v>
      </x:c>
      <x:c r="O91" t="str">
        <x:v>00204241/MAT</x:v>
      </x:c>
      <x:c r="P91" t="str">
        <x:v>Sales confirmation for document 46931.pdf</x:v>
      </x:c>
      <x:c r="Q91" s="2" t="n">
        <x:v>1</x:v>
      </x:c>
      <x:c r="R91" t="str">
        <x:v>Запчасть</x:v>
      </x:c>
      <x:c r="S91" t="str"/>
    </x:row>
    <x:row r="92">
      <x:c r="A92" s="1" t="n">
        <x:v>46254</x:v>
      </x:c>
      <x:c r="B92" t="str">
        <x:v>F</x:v>
      </x:c>
      <x:c r="C92" t="str">
        <x:v>00046931/MAT/26/F</x:v>
      </x:c>
      <x:c r="D92" t="str"/>
      <x:c r="E92" s="2" t="n">
        <x:v>5</x:v>
      </x:c>
      <x:c r="F92" t="str">
        <x:v>PUR-PA0044 Filtr powietrza</x:v>
      </x:c>
      <x:c r="G92" t="str">
        <x:v>PURRO</x:v>
      </x:c>
      <x:c r="H92" s="3" t="n">
        <x:v>1</x:v>
      </x:c>
      <x:c r="I92" s="4" t="n">
        <x:v>17.95</x:v>
      </x:c>
      <x:c r="J92" s="5" t="n">
        <x:v>0.23</x:v>
      </x:c>
      <x:c r="K92" s="4" t="n">
        <x:f>ROUND(H92*I92,2)</x:f>
        <x:v>17.95</x:v>
      </x:c>
      <x:c r="L92" s="4" t="n">
        <x:v>0</x:v>
      </x:c>
      <x:c r="M92" s="4" t="n">
        <x:f>ROUND(K92*J92,2)+L92</x:f>
        <x:v>4.13</x:v>
      </x:c>
      <x:c r="N92" s="4" t="n">
        <x:f>K92+M92</x:f>
        <x:v>22.08</x:v>
      </x:c>
      <x:c r="O92" t="str">
        <x:v>00204241/MAT</x:v>
      </x:c>
      <x:c r="P92" t="str">
        <x:v>Sales confirmation for document 46931.pdf</x:v>
      </x:c>
      <x:c r="Q92" s="2" t="n">
        <x:v>1</x:v>
      </x:c>
      <x:c r="R92" t="str">
        <x:v>Запчасть</x:v>
      </x:c>
      <x:c r="S92" t="str"/>
    </x:row>
    <x:row r="93">
      <x:c r="A93" s="1" t="n">
        <x:v>46254</x:v>
      </x:c>
      <x:c r="B93" t="str">
        <x:v>F</x:v>
      </x:c>
      <x:c r="C93" t="str">
        <x:v>00046931/MAT/26/F</x:v>
      </x:c>
      <x:c r="D93" t="str"/>
      <x:c r="E93" s="2" t="n">
        <x:v>6</x:v>
      </x:c>
      <x:c r="F93" t="str">
        <x:v>PUR-PF0030 Filtr paliwa</x:v>
      </x:c>
      <x:c r="G93" t="str">
        <x:v>PURRO</x:v>
      </x:c>
      <x:c r="H93" s="3" t="n">
        <x:v>1</x:v>
      </x:c>
      <x:c r="I93" s="4" t="n">
        <x:v>22.49</x:v>
      </x:c>
      <x:c r="J93" s="5" t="n">
        <x:v>0.23</x:v>
      </x:c>
      <x:c r="K93" s="4" t="n">
        <x:f>ROUND(H93*I93,2)</x:f>
        <x:v>22.49</x:v>
      </x:c>
      <x:c r="L93" s="4" t="n">
        <x:v>0</x:v>
      </x:c>
      <x:c r="M93" s="4" t="n">
        <x:f>ROUND(K93*J93,2)+L93</x:f>
        <x:v>5.17</x:v>
      </x:c>
      <x:c r="N93" s="4" t="n">
        <x:f>K93+M93</x:f>
        <x:v>27.659999999999997</x:v>
      </x:c>
      <x:c r="O93" t="str">
        <x:v>00204241/MAT</x:v>
      </x:c>
      <x:c r="P93" t="str">
        <x:v>Sales confirmation for document 46931.pdf</x:v>
      </x:c>
      <x:c r="Q93" s="2" t="n">
        <x:v>1</x:v>
      </x:c>
      <x:c r="R93" t="str">
        <x:v>Запчасть</x:v>
      </x:c>
      <x:c r="S93" t="str"/>
    </x:row>
    <x:row r="94">
      <x:c r="A94" s="1" t="n">
        <x:v>46254</x:v>
      </x:c>
      <x:c r="B94" t="str">
        <x:v>F</x:v>
      </x:c>
      <x:c r="C94" t="str">
        <x:v>00046931/MAT/26/F</x:v>
      </x:c>
      <x:c r="D94" t="str"/>
      <x:c r="E94" s="2" t="n">
        <x:v>7</x:v>
      </x:c>
      <x:c r="F94" t="str">
        <x:v>EVMK0419 Zestaw montażowy turbosprężarki</x:v>
      </x:c>
      <x:c r="G94" t="str">
        <x:v>EVORON</x:v>
      </x:c>
      <x:c r="H94" s="3" t="n">
        <x:v>1</x:v>
      </x:c>
      <x:c r="I94" s="4" t="n">
        <x:v>47.7</x:v>
      </x:c>
      <x:c r="J94" s="5" t="n">
        <x:v>0.23</x:v>
      </x:c>
      <x:c r="K94" s="4" t="n">
        <x:f>ROUND(H94*I94,2)</x:f>
        <x:v>47.7</x:v>
      </x:c>
      <x:c r="L94" s="4" t="n">
        <x:v>-0.01</x:v>
      </x:c>
      <x:c r="M94" s="4" t="n">
        <x:f>ROUND(K94*J94,2)+L94</x:f>
        <x:v>10.96</x:v>
      </x:c>
      <x:c r="N94" s="4" t="n">
        <x:f>K94+M94</x:f>
        <x:v>58.660000000000004</x:v>
      </x:c>
      <x:c r="O94" t="str">
        <x:v>00204346/MAT</x:v>
      </x:c>
      <x:c r="P94" t="str">
        <x:v>Sales confirmation for document 46931.pdf</x:v>
      </x:c>
      <x:c r="Q94" s="2" t="n">
        <x:v>1</x:v>
      </x:c>
      <x:c r="R94" t="str">
        <x:v>Запчасть</x:v>
      </x:c>
      <x:c r="S94" t="str"/>
    </x:row>
    <x:row r="95">
      <x:c r="A95" s="1" t="n">
        <x:v>46255</x:v>
      </x:c>
      <x:c r="B95" t="str">
        <x:v>F</x:v>
      </x:c>
      <x:c r="C95" t="str">
        <x:v>00046969/MAT/26/F</x:v>
      </x:c>
      <x:c r="D95" t="str"/>
      <x:c r="E95" s="2" t="n">
        <x:v>1</x:v>
      </x:c>
      <x:c r="F95" t="str">
        <x:v>NGK95815 Świeca zapłonowa</x:v>
      </x:c>
      <x:c r="G95" t="str">
        <x:v>NGK</x:v>
      </x:c>
      <x:c r="H95" s="3" t="n">
        <x:v>4</x:v>
      </x:c>
      <x:c r="I95" s="4" t="n">
        <x:v>44.14</x:v>
      </x:c>
      <x:c r="J95" s="5" t="n">
        <x:v>0.23</x:v>
      </x:c>
      <x:c r="K95" s="4" t="n">
        <x:f>ROUND(H95*I95,2)</x:f>
        <x:v>176.56</x:v>
      </x:c>
      <x:c r="L95" s="4" t="n">
        <x:v>0</x:v>
      </x:c>
      <x:c r="M95" s="4" t="n">
        <x:f>ROUND(K95*J95,2)+L95</x:f>
        <x:v>40.61</x:v>
      </x:c>
      <x:c r="N95" s="4" t="n">
        <x:f>K95+M95</x:f>
        <x:v>217.17000000000002</x:v>
      </x:c>
      <x:c r="O95" t="str">
        <x:v>00204567/MAT</x:v>
      </x:c>
      <x:c r="P95" t="str">
        <x:v>Sales confirmation for document 46969.pdf</x:v>
      </x:c>
      <x:c r="Q95" s="2" t="n">
        <x:v>1</x:v>
      </x:c>
      <x:c r="R95" t="str">
        <x:v>Запчасть</x:v>
      </x:c>
      <x:c r="S95" t="str"/>
    </x:row>
    <x:row r="96">
      <x:c r="A96" s="1" t="n">
        <x:v>46255</x:v>
      </x:c>
      <x:c r="B96" t="str">
        <x:v>F</x:v>
      </x:c>
      <x:c r="C96" t="str">
        <x:v>00047064/MAT/26/F</x:v>
      </x:c>
      <x:c r="D96" t="str"/>
      <x:c r="E96" s="2" t="n">
        <x:v>1</x:v>
      </x:c>
      <x:c r="F96" t="str">
        <x:v>LP1824 Klocek hamulcowy kpl.</x:v>
      </x:c>
      <x:c r="G96" t="str">
        <x:v>DELPHI</x:v>
      </x:c>
      <x:c r="H96" s="3" t="n">
        <x:v>1</x:v>
      </x:c>
      <x:c r="I96" s="4" t="n">
        <x:v>77.04</x:v>
      </x:c>
      <x:c r="J96" s="5" t="n">
        <x:v>0.23</x:v>
      </x:c>
      <x:c r="K96" s="4" t="n">
        <x:f>ROUND(H96*I96,2)</x:f>
        <x:v>77.04</x:v>
      </x:c>
      <x:c r="L96" s="4" t="n">
        <x:v>0</x:v>
      </x:c>
      <x:c r="M96" s="4" t="n">
        <x:f>ROUND(K96*J96,2)+L96</x:f>
        <x:v>17.72</x:v>
      </x:c>
      <x:c r="N96" s="4" t="n">
        <x:f>K96+M96</x:f>
        <x:v>94.76</x:v>
      </x:c>
      <x:c r="O96" t="str">
        <x:v>00205075/MAT</x:v>
      </x:c>
      <x:c r="P96" t="str">
        <x:v>Sales confirmation for document 47064.pdf</x:v>
      </x:c>
      <x:c r="Q96" s="2" t="n">
        <x:v>1</x:v>
      </x:c>
      <x:c r="R96" t="str">
        <x:v>Запчасть</x:v>
      </x:c>
      <x:c r="S96" t="str"/>
    </x:row>
    <x:row r="97">
      <x:c r="A97" s="1" t="n">
        <x:v>46255</x:v>
      </x:c>
      <x:c r="B97" t="str">
        <x:v>F</x:v>
      </x:c>
      <x:c r="C97" t="str">
        <x:v>00047064/MAT/26/F</x:v>
      </x:c>
      <x:c r="D97" t="str"/>
      <x:c r="E97" s="2" t="n">
        <x:v>2</x:v>
      </x:c>
      <x:c r="F97" t="str">
        <x:v>0 986 424 797 Klocek hamulcowy kpl.</x:v>
      </x:c>
      <x:c r="G97" t="str">
        <x:v>BOSCH</x:v>
      </x:c>
      <x:c r="H97" s="3" t="n">
        <x:v>1</x:v>
      </x:c>
      <x:c r="I97" s="4" t="n">
        <x:v>94.26</x:v>
      </x:c>
      <x:c r="J97" s="5" t="n">
        <x:v>0.23</x:v>
      </x:c>
      <x:c r="K97" s="4" t="n">
        <x:f>ROUND(H97*I97,2)</x:f>
        <x:v>94.26</x:v>
      </x:c>
      <x:c r="L97" s="4" t="n">
        <x:v>0</x:v>
      </x:c>
      <x:c r="M97" s="4" t="n">
        <x:f>ROUND(K97*J97,2)+L97</x:f>
        <x:v>21.68</x:v>
      </x:c>
      <x:c r="N97" s="4" t="n">
        <x:f>K97+M97</x:f>
        <x:v>115.94</x:v>
      </x:c>
      <x:c r="O97" t="str">
        <x:v>00205075/MAT</x:v>
      </x:c>
      <x:c r="P97" t="str">
        <x:v>Sales confirmation for document 47064.pdf</x:v>
      </x:c>
      <x:c r="Q97" s="2" t="n">
        <x:v>1</x:v>
      </x:c>
      <x:c r="R97" t="str">
        <x:v>Запчасть</x:v>
      </x:c>
      <x:c r="S97" t="str"/>
    </x:row>
    <x:row r="98">
      <x:c r="A98" s="1" t="n">
        <x:v>46255</x:v>
      </x:c>
      <x:c r="B98" t="str">
        <x:v>F</x:v>
      </x:c>
      <x:c r="C98" t="str">
        <x:v>00047064/MAT/26/F</x:v>
      </x:c>
      <x:c r="D98" t="str"/>
      <x:c r="E98" s="2" t="n">
        <x:v>3</x:v>
      </x:c>
      <x:c r="F98" t="str">
        <x:v>71-36972-00 Uszczelka pokrywy zaworów</x:v>
      </x:c>
      <x:c r="G98" t="str">
        <x:v>REINZ</x:v>
      </x:c>
      <x:c r="H98" s="3" t="n">
        <x:v>1</x:v>
      </x:c>
      <x:c r="I98" s="4" t="n">
        <x:v>48.54</x:v>
      </x:c>
      <x:c r="J98" s="5" t="n">
        <x:v>0.23</x:v>
      </x:c>
      <x:c r="K98" s="4" t="n">
        <x:f>ROUND(H98*I98,2)</x:f>
        <x:v>48.54</x:v>
      </x:c>
      <x:c r="L98" s="4" t="n">
        <x:v>0</x:v>
      </x:c>
      <x:c r="M98" s="4" t="n">
        <x:f>ROUND(K98*J98,2)+L98</x:f>
        <x:v>11.16</x:v>
      </x:c>
      <x:c r="N98" s="4" t="n">
        <x:f>K98+M98</x:f>
        <x:v>59.7</x:v>
      </x:c>
      <x:c r="O98" t="str">
        <x:v>00205075/MAT</x:v>
      </x:c>
      <x:c r="P98" t="str">
        <x:v>Sales confirmation for document 47064.pdf</x:v>
      </x:c>
      <x:c r="Q98" s="2" t="n">
        <x:v>1</x:v>
      </x:c>
      <x:c r="R98" t="str">
        <x:v>Запчасть</x:v>
      </x:c>
      <x:c r="S98" t="str"/>
    </x:row>
    <x:row r="99">
      <x:c r="A99" s="1" t="n">
        <x:v>46255</x:v>
      </x:c>
      <x:c r="B99" t="str">
        <x:v>F</x:v>
      </x:c>
      <x:c r="C99" t="str">
        <x:v>00047064/MAT/26/F</x:v>
      </x:c>
      <x:c r="D99" t="str"/>
      <x:c r="E99" s="2" t="n">
        <x:v>4</x:v>
      </x:c>
      <x:c r="F99" t="str">
        <x:v>BG3953C Tarcza hamulcowa</x:v>
      </x:c>
      <x:c r="G99" t="str">
        <x:v>DELPHI</x:v>
      </x:c>
      <x:c r="H99" s="3" t="n">
        <x:v>1</x:v>
      </x:c>
      <x:c r="I99" s="4" t="n">
        <x:v>277.21</x:v>
      </x:c>
      <x:c r="J99" s="5" t="n">
        <x:v>0.23</x:v>
      </x:c>
      <x:c r="K99" s="4" t="n">
        <x:f>ROUND(H99*I99,2)</x:f>
        <x:v>277.21</x:v>
      </x:c>
      <x:c r="L99" s="4" t="n">
        <x:v>0</x:v>
      </x:c>
      <x:c r="M99" s="4" t="n">
        <x:f>ROUND(K99*J99,2)+L99</x:f>
        <x:v>63.76</x:v>
      </x:c>
      <x:c r="N99" s="4" t="n">
        <x:f>K99+M99</x:f>
        <x:v>340.96999999999997</x:v>
      </x:c>
      <x:c r="O99" t="str">
        <x:v>00205075/MAT</x:v>
      </x:c>
      <x:c r="P99" t="str">
        <x:v>Sales confirmation for document 47064.pdf</x:v>
      </x:c>
      <x:c r="Q99" s="2" t="n">
        <x:v>1</x:v>
      </x:c>
      <x:c r="R99" t="str">
        <x:v>Запчасть</x:v>
      </x:c>
      <x:c r="S99" t="str"/>
    </x:row>
    <x:row r="100">
      <x:c r="A100" s="1" t="n">
        <x:v>46255</x:v>
      </x:c>
      <x:c r="B100" t="str">
        <x:v>F</x:v>
      </x:c>
      <x:c r="C100" t="str">
        <x:v>00047064/MAT/26/F</x:v>
      </x:c>
      <x:c r="D100" t="str"/>
      <x:c r="E100" s="2" t="n">
        <x:v>5</x:v>
      </x:c>
      <x:c r="F100" t="str">
        <x:v>EL426780 Elementy wtryskiwacza CR</x:v>
      </x:c>
      <x:c r="G100" t="str">
        <x:v>ELRING</x:v>
      </x:c>
      <x:c r="H100" s="3" t="n">
        <x:v>1</x:v>
      </x:c>
      <x:c r="I100" s="4" t="n">
        <x:v>43.3</x:v>
      </x:c>
      <x:c r="J100" s="5" t="n">
        <x:v>0.23</x:v>
      </x:c>
      <x:c r="K100" s="4" t="n">
        <x:f>ROUND(H100*I100,2)</x:f>
        <x:v>43.3</x:v>
      </x:c>
      <x:c r="L100" s="4" t="n">
        <x:v>0</x:v>
      </x:c>
      <x:c r="M100" s="4" t="n">
        <x:f>ROUND(K100*J100,2)+L100</x:f>
        <x:v>9.96</x:v>
      </x:c>
      <x:c r="N100" s="4" t="n">
        <x:f>K100+M100</x:f>
        <x:v>53.26</x:v>
      </x:c>
      <x:c r="O100" t="str">
        <x:v>00205075/MAT</x:v>
      </x:c>
      <x:c r="P100" t="str">
        <x:v>Sales confirmation for document 47064.pdf</x:v>
      </x:c>
      <x:c r="Q100" s="2" t="n">
        <x:v>1</x:v>
      </x:c>
      <x:c r="R100" t="str">
        <x:v>Запчасть</x:v>
      </x:c>
      <x:c r="S100" t="str"/>
    </x:row>
    <x:row r="101">
      <x:c r="A101" s="1" t="n">
        <x:v>46255</x:v>
      </x:c>
      <x:c r="B101" t="str">
        <x:v>F</x:v>
      </x:c>
      <x:c r="C101" t="str">
        <x:v>00047064/MAT/26/F</x:v>
      </x:c>
      <x:c r="D101" t="str"/>
      <x:c r="E101" s="2" t="n">
        <x:v>6</x:v>
      </x:c>
      <x:c r="F101" t="str">
        <x:v>EL485190 Uszczelki pompy próżniowej</x:v>
      </x:c>
      <x:c r="G101" t="str">
        <x:v>ELRING</x:v>
      </x:c>
      <x:c r="H101" s="3" t="n">
        <x:v>1</x:v>
      </x:c>
      <x:c r="I101" s="4" t="n">
        <x:v>17.93</x:v>
      </x:c>
      <x:c r="J101" s="5" t="n">
        <x:v>0.23</x:v>
      </x:c>
      <x:c r="K101" s="4" t="n">
        <x:f>ROUND(H101*I101,2)</x:f>
        <x:v>17.93</x:v>
      </x:c>
      <x:c r="L101" s="4" t="n">
        <x:v>0</x:v>
      </x:c>
      <x:c r="M101" s="4" t="n">
        <x:f>ROUND(K101*J101,2)+L101</x:f>
        <x:v>4.12</x:v>
      </x:c>
      <x:c r="N101" s="4" t="n">
        <x:f>K101+M101</x:f>
        <x:v>22.05</x:v>
      </x:c>
      <x:c r="O101" t="str">
        <x:v>00205075/MAT</x:v>
      </x:c>
      <x:c r="P101" t="str">
        <x:v>Sales confirmation for document 47064.pdf</x:v>
      </x:c>
      <x:c r="Q101" s="2" t="n">
        <x:v>1</x:v>
      </x:c>
      <x:c r="R101" t="str">
        <x:v>Запчасть</x:v>
      </x:c>
      <x:c r="S101" t="str"/>
    </x:row>
    <x:row r="102">
      <x:c r="A102" s="1" t="n">
        <x:v>46255</x:v>
      </x:c>
      <x:c r="B102" t="str">
        <x:v>F</x:v>
      </x:c>
      <x:c r="C102" t="str">
        <x:v>00047064/MAT/26/F</x:v>
      </x:c>
      <x:c r="D102" t="str"/>
      <x:c r="E102" s="2" t="n">
        <x:v>7</x:v>
      </x:c>
      <x:c r="F102" t="str">
        <x:v>EL886830 Uszczelki pompy próżniowej</x:v>
      </x:c>
      <x:c r="G102" t="str">
        <x:v>ELRING</x:v>
      </x:c>
      <x:c r="H102" s="3" t="n">
        <x:v>1</x:v>
      </x:c>
      <x:c r="I102" s="4" t="n">
        <x:v>34.71</x:v>
      </x:c>
      <x:c r="J102" s="5" t="n">
        <x:v>0.23</x:v>
      </x:c>
      <x:c r="K102" s="4" t="n">
        <x:f>ROUND(H102*I102,2)</x:f>
        <x:v>34.71</x:v>
      </x:c>
      <x:c r="L102" s="4" t="n">
        <x:v>0</x:v>
      </x:c>
      <x:c r="M102" s="4" t="n">
        <x:f>ROUND(K102*J102,2)+L102</x:f>
        <x:v>7.98</x:v>
      </x:c>
      <x:c r="N102" s="4" t="n">
        <x:f>K102+M102</x:f>
        <x:v>42.69</x:v>
      </x:c>
      <x:c r="O102" t="str">
        <x:v>00205075/MAT</x:v>
      </x:c>
      <x:c r="P102" t="str">
        <x:v>Sales confirmation for document 47064.pdf</x:v>
      </x:c>
      <x:c r="Q102" s="2" t="n">
        <x:v>2</x:v>
      </x:c>
      <x:c r="R102" t="str">
        <x:v>Запчасть</x:v>
      </x:c>
      <x:c r="S102" t="str"/>
    </x:row>
    <x:row r="103">
      <x:c r="A103" s="1" t="n">
        <x:v>46255</x:v>
      </x:c>
      <x:c r="B103" t="str">
        <x:v>F</x:v>
      </x:c>
      <x:c r="C103" t="str">
        <x:v>00047064/MAT/26/F</x:v>
      </x:c>
      <x:c r="D103" t="str"/>
      <x:c r="E103" s="2" t="n">
        <x:v>8</x:v>
      </x:c>
      <x:c r="F103" t="str">
        <x:v>BG5020C Tarcza hamulcowa</x:v>
      </x:c>
      <x:c r="G103" t="str">
        <x:v>DELPHI</x:v>
      </x:c>
      <x:c r="H103" s="3" t="n">
        <x:v>1</x:v>
      </x:c>
      <x:c r="I103" s="4" t="n">
        <x:v>134.8</x:v>
      </x:c>
      <x:c r="J103" s="5" t="n">
        <x:v>0.23</x:v>
      </x:c>
      <x:c r="K103" s="4" t="n">
        <x:f>ROUND(H103*I103,2)</x:f>
        <x:v>134.8</x:v>
      </x:c>
      <x:c r="L103" s="4" t="n">
        <x:v>0</x:v>
      </x:c>
      <x:c r="M103" s="4" t="n">
        <x:f>ROUND(K103*J103,2)+L103</x:f>
        <x:v>31</x:v>
      </x:c>
      <x:c r="N103" s="4" t="n">
        <x:f>K103+M103</x:f>
        <x:v>165.8</x:v>
      </x:c>
      <x:c r="O103" t="str">
        <x:v>00205075/MAT</x:v>
      </x:c>
      <x:c r="P103" t="str">
        <x:v>Sales confirmation for document 47064.pdf</x:v>
      </x:c>
      <x:c r="Q103" s="2" t="n">
        <x:v>2</x:v>
      </x:c>
      <x:c r="R103" t="str">
        <x:v>Запчасть</x:v>
      </x:c>
      <x:c r="S103" t="str"/>
    </x:row>
    <x:row r="104">
      <x:c r="A104" s="1" t="n">
        <x:v>46255</x:v>
      </x:c>
      <x:c r="B104" t="str">
        <x:v>F</x:v>
      </x:c>
      <x:c r="C104" t="str">
        <x:v>00047064/MAT/26/F</x:v>
      </x:c>
      <x:c r="D104" t="str"/>
      <x:c r="E104" s="2" t="n">
        <x:v>9</x:v>
      </x:c>
      <x:c r="F104" t="str">
        <x:v>ENT250543 Uszczelka przeciwpyłowa wtryskiwacza CR</x:v>
      </x:c>
      <x:c r="G104" t="str">
        <x:v>ENGITECH</x:v>
      </x:c>
      <x:c r="H104" s="3" t="n">
        <x:v>4</x:v>
      </x:c>
      <x:c r="I104" s="4" t="n">
        <x:v>22.35</x:v>
      </x:c>
      <x:c r="J104" s="5" t="n">
        <x:v>0.23</x:v>
      </x:c>
      <x:c r="K104" s="4" t="n">
        <x:f>ROUND(H104*I104,2)</x:f>
        <x:v>89.4</x:v>
      </x:c>
      <x:c r="L104" s="4" t="n">
        <x:v>0.01</x:v>
      </x:c>
      <x:c r="M104" s="4" t="n">
        <x:f>ROUND(K104*J104,2)+L104</x:f>
        <x:v>20.57</x:v>
      </x:c>
      <x:c r="N104" s="4" t="n">
        <x:f>K104+M104</x:f>
        <x:v>109.97</x:v>
      </x:c>
      <x:c r="O104" t="str">
        <x:v>00205075/MAT</x:v>
      </x:c>
      <x:c r="P104" t="str">
        <x:v>Sales confirmation for document 47064.pdf</x:v>
      </x:c>
      <x:c r="Q104" s="2" t="n">
        <x:v>2</x:v>
      </x:c>
      <x:c r="R104" t="str">
        <x:v>Запчасть</x:v>
      </x:c>
      <x:c r="S104" t="str"/>
    </x:row>
    <x:row r="105">
      <x:c r="A105" s="1" t="n">
        <x:v>46255</x:v>
      </x:c>
      <x:c r="B105" t="str">
        <x:v>F</x:v>
      </x:c>
      <x:c r="C105" t="str">
        <x:v>00047126/MAT/26/F</x:v>
      </x:c>
      <x:c r="D105" t="str"/>
      <x:c r="E105" s="2" t="n">
        <x:v>1</x:v>
      </x:c>
      <x:c r="F105" t="str">
        <x:v>EL733460 Uszczelka pokrywy zaworów</x:v>
      </x:c>
      <x:c r="G105" t="str">
        <x:v>ELRING</x:v>
      </x:c>
      <x:c r="H105" s="3" t="n">
        <x:v>1</x:v>
      </x:c>
      <x:c r="I105" s="4" t="n">
        <x:v>44.17</x:v>
      </x:c>
      <x:c r="J105" s="5" t="n">
        <x:v>0.23</x:v>
      </x:c>
      <x:c r="K105" s="4" t="n">
        <x:f>ROUND(H105*I105,2)</x:f>
        <x:v>44.17</x:v>
      </x:c>
      <x:c r="L105" s="4" t="n">
        <x:v>0</x:v>
      </x:c>
      <x:c r="M105" s="4" t="n">
        <x:f>ROUND(K105*J105,2)+L105</x:f>
        <x:v>10.16</x:v>
      </x:c>
      <x:c r="N105" s="4" t="n">
        <x:f>K105+M105</x:f>
        <x:v>54.33</x:v>
      </x:c>
      <x:c r="O105" t="str">
        <x:v>00205179/MAT</x:v>
      </x:c>
      <x:c r="P105" t="str">
        <x:v>Sales confirmation for document 47126.pdf</x:v>
      </x:c>
      <x:c r="Q105" s="2" t="n">
        <x:v>1</x:v>
      </x:c>
      <x:c r="R105" t="str">
        <x:v>Запчасть</x:v>
      </x:c>
      <x:c r="S105" t="str"/>
    </x:row>
    <x:row r="106">
      <x:c r="A106" s="1" t="n">
        <x:v>46255</x:v>
      </x:c>
      <x:c r="B106" t="str">
        <x:v>FK</x:v>
      </x:c>
      <x:c r="C106" t="str">
        <x:v>00012659/MAT/26/FK</x:v>
      </x:c>
      <x:c r="D106" t="str">
        <x:v>00046432/MAT/26/F</x:v>
      </x:c>
      <x:c r="E106" s="2" t="n">
        <x:v>1</x:v>
      </x:c>
      <x:c r="F106" t="str">
        <x:v>LP1791 Klocek hamulcowy kpl.</x:v>
      </x:c>
      <x:c r="G106" t="str">
        <x:v>DELPHI</x:v>
      </x:c>
      <x:c r="H106" s="3" t="n">
        <x:v>-1</x:v>
      </x:c>
      <x:c r="I106" s="4" t="n">
        <x:v>119.31</x:v>
      </x:c>
      <x:c r="J106" s="5" t="n">
        <x:v>0.23</x:v>
      </x:c>
      <x:c r="K106" s="4" t="n">
        <x:f>ROUND(H106*I106,2)</x:f>
        <x:v>-119.31</x:v>
      </x:c>
      <x:c r="L106" s="4" t="n">
        <x:v>0</x:v>
      </x:c>
      <x:c r="M106" s="4" t="n">
        <x:f>ROUND(K106*J106,2)+L106</x:f>
        <x:v>-27.44</x:v>
      </x:c>
      <x:c r="N106" s="4" t="n">
        <x:f>K106+M106</x:f>
        <x:v>-146.75</x:v>
      </x:c>
      <x:c r="O106" t="str"/>
      <x:c r="P106" t="str">
        <x:v>Sales confirmation for document 12659(1).pdf</x:v>
      </x:c>
      <x:c r="Q106" s="2" t="n">
        <x:v>1</x:v>
      </x:c>
      <x:c r="R106" t="str">
        <x:v>Запчасть</x:v>
      </x:c>
      <x:c r="S106" t="str"/>
    </x:row>
    <x:row r="107">
      <x:c r="A107" s="1" t="n">
        <x:v>46255</x:v>
      </x:c>
      <x:c r="B107" t="str">
        <x:v>FK</x:v>
      </x:c>
      <x:c r="C107" t="str">
        <x:v>00012659/MAT/26/FK</x:v>
      </x:c>
      <x:c r="D107" t="str">
        <x:v>00046432/MAT/26/F</x:v>
      </x:c>
      <x:c r="E107" s="2" t="n">
        <x:v>3</x:v>
      </x:c>
      <x:c r="F107" t="str">
        <x:v>K04W018AKN Stacyjka zapłonu</x:v>
      </x:c>
      <x:c r="G107" t="str">
        <x:v>AKUSAN</x:v>
      </x:c>
      <x:c r="H107" s="3" t="n">
        <x:v>-1</x:v>
      </x:c>
      <x:c r="I107" s="4" t="n">
        <x:v>109.09</x:v>
      </x:c>
      <x:c r="J107" s="5" t="n">
        <x:v>0.23</x:v>
      </x:c>
      <x:c r="K107" s="4" t="n">
        <x:f>ROUND(H107*I107,2)</x:f>
        <x:v>-109.09</x:v>
      </x:c>
      <x:c r="L107" s="4" t="n">
        <x:v>0</x:v>
      </x:c>
      <x:c r="M107" s="4" t="n">
        <x:f>ROUND(K107*J107,2)+L107</x:f>
        <x:v>-25.09</x:v>
      </x:c>
      <x:c r="N107" s="4" t="n">
        <x:f>K107+M107</x:f>
        <x:v>-134.18</x:v>
      </x:c>
      <x:c r="O107" t="str"/>
      <x:c r="P107" t="str">
        <x:v>Sales confirmation for document 12659(1).pdf</x:v>
      </x:c>
      <x:c r="Q107" s="2" t="n">
        <x:v>1</x:v>
      </x:c>
      <x:c r="R107" t="str">
        <x:v>Запчасть</x:v>
      </x:c>
      <x:c r="S107" t="str"/>
    </x:row>
    <x:row r="108">
      <x:c r="A108" s="1" t="n">
        <x:v>46255</x:v>
      </x:c>
      <x:c r="B108" t="str">
        <x:v>FK</x:v>
      </x:c>
      <x:c r="C108" t="str">
        <x:v>00012660/MAT/26/FK</x:v>
      </x:c>
      <x:c r="D108" t="str">
        <x:v>00046501/MAT/26/F</x:v>
      </x:c>
      <x:c r="E108" s="2" t="n">
        <x:v>1</x:v>
      </x:c>
      <x:c r="F108" t="str">
        <x:v>VAL254070 Czujnik położenia wału korbowego</x:v>
      </x:c>
      <x:c r="G108" t="str">
        <x:v>VALEO</x:v>
      </x:c>
      <x:c r="H108" s="3" t="n">
        <x:v>-1</x:v>
      </x:c>
      <x:c r="I108" s="4" t="n">
        <x:v>22.71</x:v>
      </x:c>
      <x:c r="J108" s="5" t="n">
        <x:v>0.23</x:v>
      </x:c>
      <x:c r="K108" s="4" t="n">
        <x:f>ROUND(H108*I108,2)</x:f>
        <x:v>-22.71</x:v>
      </x:c>
      <x:c r="L108" s="4" t="n">
        <x:v>0</x:v>
      </x:c>
      <x:c r="M108" s="4" t="n">
        <x:f>ROUND(K108*J108,2)+L108</x:f>
        <x:v>-5.22</x:v>
      </x:c>
      <x:c r="N108" s="4" t="n">
        <x:f>K108+M108</x:f>
        <x:v>-27.93</x:v>
      </x:c>
      <x:c r="O108" t="str"/>
      <x:c r="P108" t="str">
        <x:v>Sales confirmation for document 12660(1).pdf</x:v>
      </x:c>
      <x:c r="Q108" s="2" t="n">
        <x:v>1</x:v>
      </x:c>
      <x:c r="R108" t="str">
        <x:v>Запчасть</x:v>
      </x:c>
      <x:c r="S108" t="str"/>
    </x:row>
    <x:row r="109">
      <x:c r="A109" s="1" t="n">
        <x:v>46258</x:v>
      </x:c>
      <x:c r="B109" t="str">
        <x:v>F</x:v>
      </x:c>
      <x:c r="C109" t="str">
        <x:v>00047255/MAT/26/F</x:v>
      </x:c>
      <x:c r="D109" t="str"/>
      <x:c r="E109" s="2" t="n">
        <x:v>1</x:v>
      </x:c>
      <x:c r="F109" t="str">
        <x:v>VAL715551 Filtr kabiny</x:v>
      </x:c>
      <x:c r="G109" t="str">
        <x:v>VALEO</x:v>
      </x:c>
      <x:c r="H109" s="3" t="n">
        <x:v>1</x:v>
      </x:c>
      <x:c r="I109" s="4" t="n">
        <x:v>18.32</x:v>
      </x:c>
      <x:c r="J109" s="5" t="n">
        <x:v>0.23</x:v>
      </x:c>
      <x:c r="K109" s="4" t="n">
        <x:f>ROUND(H109*I109,2)</x:f>
        <x:v>18.32</x:v>
      </x:c>
      <x:c r="L109" s="4" t="n">
        <x:v>0</x:v>
      </x:c>
      <x:c r="M109" s="4" t="n">
        <x:f>ROUND(K109*J109,2)+L109</x:f>
        <x:v>4.21</x:v>
      </x:c>
      <x:c r="N109" s="4" t="n">
        <x:f>K109+M109</x:f>
        <x:v>22.53</x:v>
      </x:c>
      <x:c r="O109" t="str">
        <x:v>00205977/MAT</x:v>
      </x:c>
      <x:c r="P109" t="str">
        <x:v>Sales confirmation for document 47255.pdf</x:v>
      </x:c>
      <x:c r="Q109" s="2" t="n">
        <x:v>1</x:v>
      </x:c>
      <x:c r="R109" t="str">
        <x:v>Запчасть</x:v>
      </x:c>
      <x:c r="S109" t="str"/>
    </x:row>
    <x:row r="110">
      <x:c r="A110" s="1" t="n">
        <x:v>46258</x:v>
      </x:c>
      <x:c r="B110" t="str">
        <x:v>F</x:v>
      </x:c>
      <x:c r="C110" t="str">
        <x:v>00047255/MAT/26/F</x:v>
      </x:c>
      <x:c r="D110" t="str"/>
      <x:c r="E110" s="2" t="n">
        <x:v>2</x:v>
      </x:c>
      <x:c r="F110" t="str">
        <x:v>8100 ECO-LITE 0W16 5L Olej silnikowy</x:v>
      </x:c>
      <x:c r="G110" t="str">
        <x:v>MOTUL</x:v>
      </x:c>
      <x:c r="H110" s="3" t="n">
        <x:v>1</x:v>
      </x:c>
      <x:c r="I110" s="4" t="n">
        <x:v>274.14</x:v>
      </x:c>
      <x:c r="J110" s="5" t="n">
        <x:v>0.23</x:v>
      </x:c>
      <x:c r="K110" s="4" t="n">
        <x:f>ROUND(H110*I110,2)</x:f>
        <x:v>274.14</x:v>
      </x:c>
      <x:c r="L110" s="4" t="n">
        <x:v>0</x:v>
      </x:c>
      <x:c r="M110" s="4" t="n">
        <x:f>ROUND(K110*J110,2)+L110</x:f>
        <x:v>63.05</x:v>
      </x:c>
      <x:c r="N110" s="4" t="n">
        <x:f>K110+M110</x:f>
        <x:v>337.19</x:v>
      </x:c>
      <x:c r="O110" t="str">
        <x:v>00205937/MAT</x:v>
      </x:c>
      <x:c r="P110" t="str">
        <x:v>Sales confirmation for document 47255.pdf</x:v>
      </x:c>
      <x:c r="Q110" s="2" t="n">
        <x:v>1</x:v>
      </x:c>
      <x:c r="R110" t="str">
        <x:v>Расходник</x:v>
      </x:c>
      <x:c r="S110" t="str">
        <x:v>Моторное масло</x:v>
      </x:c>
    </x:row>
    <x:row r="111">
      <x:c r="A111" s="1" t="n">
        <x:v>46258</x:v>
      </x:c>
      <x:c r="B111" t="str">
        <x:v>F</x:v>
      </x:c>
      <x:c r="C111" t="str">
        <x:v>00047255/MAT/26/F</x:v>
      </x:c>
      <x:c r="D111" t="str"/>
      <x:c r="E111" s="2" t="n">
        <x:v>3</x:v>
      </x:c>
      <x:c r="F111" t="str">
        <x:v>PUR-PA8171 Filtr powietrza</x:v>
      </x:c>
      <x:c r="G111" t="str">
        <x:v>PURRO</x:v>
      </x:c>
      <x:c r="H111" s="3" t="n">
        <x:v>1</x:v>
      </x:c>
      <x:c r="I111" s="4" t="n">
        <x:v>24.61</x:v>
      </x:c>
      <x:c r="J111" s="5" t="n">
        <x:v>0.23</x:v>
      </x:c>
      <x:c r="K111" s="4" t="n">
        <x:f>ROUND(H111*I111,2)</x:f>
        <x:v>24.61</x:v>
      </x:c>
      <x:c r="L111" s="4" t="n">
        <x:v>0</x:v>
      </x:c>
      <x:c r="M111" s="4" t="n">
        <x:f>ROUND(K111*J111,2)+L111</x:f>
        <x:v>5.66</x:v>
      </x:c>
      <x:c r="N111" s="4" t="n">
        <x:f>K111+M111</x:f>
        <x:v>30.27</x:v>
      </x:c>
      <x:c r="O111" t="str">
        <x:v>00205977/MAT</x:v>
      </x:c>
      <x:c r="P111" t="str">
        <x:v>Sales confirmation for document 47255.pdf</x:v>
      </x:c>
      <x:c r="Q111" s="2" t="n">
        <x:v>1</x:v>
      </x:c>
      <x:c r="R111" t="str">
        <x:v>Запчасть</x:v>
      </x:c>
      <x:c r="S111" t="str"/>
    </x:row>
    <x:row r="112">
      <x:c r="A112" s="1" t="n">
        <x:v>46258</x:v>
      </x:c>
      <x:c r="B112" t="str">
        <x:v>F</x:v>
      </x:c>
      <x:c r="C112" t="str">
        <x:v>00047255/MAT/26/F</x:v>
      </x:c>
      <x:c r="D112" t="str"/>
      <x:c r="E112" s="2" t="n">
        <x:v>4</x:v>
      </x:c>
      <x:c r="F112" t="str">
        <x:v>F 026 407 364 Filtr oleju</x:v>
      </x:c>
      <x:c r="G112" t="str">
        <x:v>BOSCH</x:v>
      </x:c>
      <x:c r="H112" s="3" t="n">
        <x:v>1</x:v>
      </x:c>
      <x:c r="I112" s="4" t="n">
        <x:v>14.88</x:v>
      </x:c>
      <x:c r="J112" s="5" t="n">
        <x:v>0.23</x:v>
      </x:c>
      <x:c r="K112" s="4" t="n">
        <x:f>ROUND(H112*I112,2)</x:f>
        <x:v>14.88</x:v>
      </x:c>
      <x:c r="L112" s="4" t="n">
        <x:v>0.01</x:v>
      </x:c>
      <x:c r="M112" s="4" t="n">
        <x:f>ROUND(K112*J112,2)+L112</x:f>
        <x:v>3.4299999999999997</x:v>
      </x:c>
      <x:c r="N112" s="4" t="n">
        <x:f>K112+M112</x:f>
        <x:v>18.310000000000002</x:v>
      </x:c>
      <x:c r="O112" t="str">
        <x:v>00205977/MAT</x:v>
      </x:c>
      <x:c r="P112" t="str">
        <x:v>Sales confirmation for document 47255.pdf</x:v>
      </x:c>
      <x:c r="Q112" s="2" t="n">
        <x:v>1</x:v>
      </x:c>
      <x:c r="R112" t="str">
        <x:v>Запчасть</x:v>
      </x:c>
      <x:c r="S112" t="str"/>
    </x:row>
    <x:row r="113">
      <x:c r="A113" s="1" t="n">
        <x:v>46259</x:v>
      </x:c>
      <x:c r="B113" t="str">
        <x:v>F</x:v>
      </x:c>
      <x:c r="C113" t="str">
        <x:v>00047722/MAT/26/F</x:v>
      </x:c>
      <x:c r="D113" t="str"/>
      <x:c r="E113" s="2" t="n">
        <x:v>1</x:v>
      </x:c>
      <x:c r="F113" t="str">
        <x:v>FE02113 Korek wlewu oleju</x:v>
      </x:c>
      <x:c r="G113" t="str">
        <x:v>FEBI</x:v>
      </x:c>
      <x:c r="H113" s="3" t="n">
        <x:v>1</x:v>
      </x:c>
      <x:c r="I113" s="4" t="n">
        <x:v>5.17</x:v>
      </x:c>
      <x:c r="J113" s="5" t="n">
        <x:v>0.23</x:v>
      </x:c>
      <x:c r="K113" s="4" t="n">
        <x:f>ROUND(H113*I113,2)</x:f>
        <x:v>5.17</x:v>
      </x:c>
      <x:c r="L113" s="4" t="n">
        <x:v>0</x:v>
      </x:c>
      <x:c r="M113" s="4" t="n">
        <x:f>ROUND(K113*J113,2)+L113</x:f>
        <x:v>1.19</x:v>
      </x:c>
      <x:c r="N113" s="4" t="n">
        <x:f>K113+M113</x:f>
        <x:v>6.359999999999999</x:v>
      </x:c>
      <x:c r="O113" t="str">
        <x:v>00207328/MAT</x:v>
      </x:c>
      <x:c r="P113" t="str">
        <x:v>Sales confirmation for document 47722.pdf</x:v>
      </x:c>
      <x:c r="Q113" s="2" t="n">
        <x:v>1</x:v>
      </x:c>
      <x:c r="R113" t="str">
        <x:v>Запчасть</x:v>
      </x:c>
      <x:c r="S113" t="str"/>
    </x:row>
    <x:row r="114">
      <x:c r="A114" s="1" t="n">
        <x:v>46259</x:v>
      </x:c>
      <x:c r="B114" t="str">
        <x:v>F</x:v>
      </x:c>
      <x:c r="C114" t="str">
        <x:v>00047722/MAT/26/F</x:v>
      </x:c>
      <x:c r="D114" t="str"/>
      <x:c r="E114" s="2" t="n">
        <x:v>2</x:v>
      </x:c>
      <x:c r="F114" t="str">
        <x:v>40-77408-00 Uszczelka korka wlewu oleju</x:v>
      </x:c>
      <x:c r="G114" t="str">
        <x:v>REINZ</x:v>
      </x:c>
      <x:c r="H114" s="3" t="n">
        <x:v>1</x:v>
      </x:c>
      <x:c r="I114" s="4" t="n">
        <x:v>1.98</x:v>
      </x:c>
      <x:c r="J114" s="5" t="n">
        <x:v>0.23</x:v>
      </x:c>
      <x:c r="K114" s="4" t="n">
        <x:f>ROUND(H114*I114,2)</x:f>
        <x:v>1.98</x:v>
      </x:c>
      <x:c r="L114" s="4" t="n">
        <x:v>-0.01</x:v>
      </x:c>
      <x:c r="M114" s="4" t="n">
        <x:f>ROUND(K114*J114,2)+L114</x:f>
        <x:v>0.45</x:v>
      </x:c>
      <x:c r="N114" s="4" t="n">
        <x:f>K114+M114</x:f>
        <x:v>2.43</x:v>
      </x:c>
      <x:c r="O114" t="str">
        <x:v>00207328/MAT</x:v>
      </x:c>
      <x:c r="P114" t="str">
        <x:v>Sales confirmation for document 47722.pdf</x:v>
      </x:c>
      <x:c r="Q114" s="2" t="n">
        <x:v>1</x:v>
      </x:c>
      <x:c r="R114" t="str">
        <x:v>Запчасть</x:v>
      </x:c>
      <x:c r="S114" t="str"/>
    </x:row>
    <x:row r="115">
      <x:c r="A115" s="1" t="n">
        <x:v>46259</x:v>
      </x:c>
      <x:c r="B115" t="str">
        <x:v>F</x:v>
      </x:c>
      <x:c r="C115" t="str">
        <x:v>00047808/MAT/26/F</x:v>
      </x:c>
      <x:c r="D115" t="str"/>
      <x:c r="E115" s="2" t="n">
        <x:v>1</x:v>
      </x:c>
      <x:c r="F115" t="str">
        <x:v>EL107239 Uszczelka chłodnicy oleju</x:v>
      </x:c>
      <x:c r="G115" t="str">
        <x:v>ELRING</x:v>
      </x:c>
      <x:c r="H115" s="3" t="n">
        <x:v>2</x:v>
      </x:c>
      <x:c r="I115" s="4" t="n">
        <x:v>0.4</x:v>
      </x:c>
      <x:c r="J115" s="5" t="n">
        <x:v>0.23</x:v>
      </x:c>
      <x:c r="K115" s="4" t="n">
        <x:f>ROUND(H115*I115,2)</x:f>
        <x:v>0.8</x:v>
      </x:c>
      <x:c r="L115" s="4" t="n">
        <x:v>0</x:v>
      </x:c>
      <x:c r="M115" s="4" t="n">
        <x:f>ROUND(K115*J115,2)+L115</x:f>
        <x:v>0.18</x:v>
      </x:c>
      <x:c r="N115" s="4" t="n">
        <x:f>K115+M115</x:f>
        <x:v>0.98</x:v>
      </x:c>
      <x:c r="O115" t="str">
        <x:v>00207910/MAT</x:v>
      </x:c>
      <x:c r="P115" t="str">
        <x:v>Sales confirmation for document 47808.pdf</x:v>
      </x:c>
      <x:c r="Q115" s="2" t="n">
        <x:v>1</x:v>
      </x:c>
      <x:c r="R115" t="str">
        <x:v>Запчасть</x:v>
      </x:c>
      <x:c r="S115" t="str"/>
    </x:row>
    <x:row r="116">
      <x:c r="A116" s="1" t="n">
        <x:v>46259</x:v>
      </x:c>
      <x:c r="B116" t="str">
        <x:v>F</x:v>
      </x:c>
      <x:c r="C116" t="str">
        <x:v>00047808/MAT/26/F</x:v>
      </x:c>
      <x:c r="D116" t="str"/>
      <x:c r="E116" s="2" t="n">
        <x:v>2</x:v>
      </x:c>
      <x:c r="F116" t="str">
        <x:v>HP115 086 Uszczelka turbosprężarki</x:v>
      </x:c>
      <x:c r="G116" t="str">
        <x:v>HANS PRIES</x:v>
      </x:c>
      <x:c r="H116" s="3" t="n">
        <x:v>1</x:v>
      </x:c>
      <x:c r="I116" s="4" t="n">
        <x:v>4.04</x:v>
      </x:c>
      <x:c r="J116" s="5" t="n">
        <x:v>0.23</x:v>
      </x:c>
      <x:c r="K116" s="4" t="n">
        <x:f>ROUND(H116*I116,2)</x:f>
        <x:v>4.04</x:v>
      </x:c>
      <x:c r="L116" s="4" t="n">
        <x:v>0</x:v>
      </x:c>
      <x:c r="M116" s="4" t="n">
        <x:f>ROUND(K116*J116,2)+L116</x:f>
        <x:v>0.93</x:v>
      </x:c>
      <x:c r="N116" s="4" t="n">
        <x:f>K116+M116</x:f>
        <x:v>4.97</x:v>
      </x:c>
      <x:c r="O116" t="str">
        <x:v>00207861/MAT</x:v>
      </x:c>
      <x:c r="P116" t="str">
        <x:v>Sales confirmation for document 47808.pdf</x:v>
      </x:c>
      <x:c r="Q116" s="2" t="n">
        <x:v>1</x:v>
      </x:c>
      <x:c r="R116" t="str">
        <x:v>Запчасть</x:v>
      </x:c>
      <x:c r="S116" t="str"/>
    </x:row>
    <x:row r="117">
      <x:c r="A117" s="1" t="n">
        <x:v>46259</x:v>
      </x:c>
      <x:c r="B117" t="str">
        <x:v>FK</x:v>
      </x:c>
      <x:c r="C117" t="str">
        <x:v>00012862/MAT/26/FK</x:v>
      </x:c>
      <x:c r="D117" t="str">
        <x:v>00047064/MAT/26/F</x:v>
      </x:c>
      <x:c r="E117" s="2" t="n">
        <x:v>1</x:v>
      </x:c>
      <x:c r="F117" t="str">
        <x:v>EL485190 Uszczelki pompy próżniowej</x:v>
      </x:c>
      <x:c r="G117" t="str">
        <x:v>ELRING</x:v>
      </x:c>
      <x:c r="H117" s="3" t="n">
        <x:v>-1</x:v>
      </x:c>
      <x:c r="I117" s="4" t="n">
        <x:v>17.93</x:v>
      </x:c>
      <x:c r="J117" s="5" t="n">
        <x:v>0.23</x:v>
      </x:c>
      <x:c r="K117" s="4" t="n">
        <x:f>ROUND(H117*I117,2)</x:f>
        <x:v>-17.93</x:v>
      </x:c>
      <x:c r="L117" s="4" t="n">
        <x:v>0</x:v>
      </x:c>
      <x:c r="M117" s="4" t="n">
        <x:f>ROUND(K117*J117,2)+L117</x:f>
        <x:v>-4.12</x:v>
      </x:c>
      <x:c r="N117" s="4" t="n">
        <x:f>K117+M117</x:f>
        <x:v>-22.05</x:v>
      </x:c>
      <x:c r="O117" t="str"/>
      <x:c r="P117" t="str">
        <x:v>Sales confirmation for document 12862(1).pdf</x:v>
      </x:c>
      <x:c r="Q117" s="2" t="n">
        <x:v>1</x:v>
      </x:c>
      <x:c r="R117" t="str">
        <x:v>Запчасть</x:v>
      </x:c>
      <x:c r="S117" t="str"/>
    </x:row>
    <x:row r="118">
      <x:c r="A118" s="1" t="n">
        <x:v>46259</x:v>
      </x:c>
      <x:c r="B118" t="str">
        <x:v>FK</x:v>
      </x:c>
      <x:c r="C118" t="str">
        <x:v>00012862/MAT/26/FK</x:v>
      </x:c>
      <x:c r="D118" t="str">
        <x:v>00047064/MAT/26/F</x:v>
      </x:c>
      <x:c r="E118" s="2" t="n">
        <x:v>3</x:v>
      </x:c>
      <x:c r="F118" t="str">
        <x:v>71-36972-00 Uszczelka pokrywy zaworów</x:v>
      </x:c>
      <x:c r="G118" t="str">
        <x:v>REINZ</x:v>
      </x:c>
      <x:c r="H118" s="3" t="n">
        <x:v>-1</x:v>
      </x:c>
      <x:c r="I118" s="4" t="n">
        <x:v>48.54</x:v>
      </x:c>
      <x:c r="J118" s="5" t="n">
        <x:v>0.23</x:v>
      </x:c>
      <x:c r="K118" s="4" t="n">
        <x:f>ROUND(H118*I118,2)</x:f>
        <x:v>-48.54</x:v>
      </x:c>
      <x:c r="L118" s="4" t="n">
        <x:v>-0.01</x:v>
      </x:c>
      <x:c r="M118" s="4" t="n">
        <x:f>ROUND(K118*J118,2)+L118</x:f>
        <x:v>-11.17</x:v>
      </x:c>
      <x:c r="N118" s="4" t="n">
        <x:f>K118+M118</x:f>
        <x:v>-59.71</x:v>
      </x:c>
      <x:c r="O118" t="str"/>
      <x:c r="P118" t="str">
        <x:v>Sales confirmation for document 12862(1).pdf</x:v>
      </x:c>
      <x:c r="Q118" s="2" t="n">
        <x:v>1</x:v>
      </x:c>
      <x:c r="R118" t="str">
        <x:v>Запчасть</x:v>
      </x:c>
      <x:c r="S118" t="str"/>
    </x:row>
    <x:row r="119">
      <x:c r="A119" s="1" t="n">
        <x:v>46259</x:v>
      </x:c>
      <x:c r="B119" t="str">
        <x:v>FK</x:v>
      </x:c>
      <x:c r="C119" t="str">
        <x:v>00012863/MAT/26/FK</x:v>
      </x:c>
      <x:c r="D119" t="str">
        <x:v>00046931/MAT/26/F</x:v>
      </x:c>
      <x:c r="E119" s="2" t="n">
        <x:v>1</x:v>
      </x:c>
      <x:c r="F119" t="str">
        <x:v>EVMK0419 Zestaw montażowy turbosprężarki</x:v>
      </x:c>
      <x:c r="G119" t="str">
        <x:v>EVORON</x:v>
      </x:c>
      <x:c r="H119" s="3" t="n">
        <x:v>-1</x:v>
      </x:c>
      <x:c r="I119" s="4" t="n">
        <x:v>47.7</x:v>
      </x:c>
      <x:c r="J119" s="5" t="n">
        <x:v>0.23</x:v>
      </x:c>
      <x:c r="K119" s="4" t="n">
        <x:f>ROUND(H119*I119,2)</x:f>
        <x:v>-47.7</x:v>
      </x:c>
      <x:c r="L119" s="4" t="n">
        <x:v>0</x:v>
      </x:c>
      <x:c r="M119" s="4" t="n">
        <x:f>ROUND(K119*J119,2)+L119</x:f>
        <x:v>-10.97</x:v>
      </x:c>
      <x:c r="N119" s="4" t="n">
        <x:f>K119+M119</x:f>
        <x:v>-58.67</x:v>
      </x:c>
      <x:c r="O119" t="str"/>
      <x:c r="P119" t="str">
        <x:v>Sales confirmation for document 12863(1).pdf</x:v>
      </x:c>
      <x:c r="Q119" s="2" t="n">
        <x:v>1</x:v>
      </x:c>
      <x:c r="R119" t="str">
        <x:v>Запчасть</x:v>
      </x:c>
      <x:c r="S119" t="str"/>
    </x:row>
    <x:row r="120">
      <x:c r="A120" s="1" t="n">
        <x:v>46260</x:v>
      </x:c>
      <x:c r="B120" t="str">
        <x:v>F</x:v>
      </x:c>
      <x:c r="C120" t="str">
        <x:v>00047949/MAT/26/F</x:v>
      </x:c>
      <x:c r="D120" t="str"/>
      <x:c r="E120" s="2" t="n">
        <x:v>1</x:v>
      </x:c>
      <x:c r="F120" t="str">
        <x:v>EL107239 Uszczelka chłodnicy oleju</x:v>
      </x:c>
      <x:c r="G120" t="str">
        <x:v>ELRING</x:v>
      </x:c>
      <x:c r="H120" s="3" t="n">
        <x:v>2</x:v>
      </x:c>
      <x:c r="I120" s="4" t="n">
        <x:v>0.4</x:v>
      </x:c>
      <x:c r="J120" s="5" t="n">
        <x:v>0.23</x:v>
      </x:c>
      <x:c r="K120" s="4" t="n">
        <x:f>ROUND(H120*I120,2)</x:f>
        <x:v>0.8</x:v>
      </x:c>
      <x:c r="L120" s="4" t="n">
        <x:v>0</x:v>
      </x:c>
      <x:c r="M120" s="4" t="n">
        <x:f>ROUND(K120*J120,2)+L120</x:f>
        <x:v>0.18</x:v>
      </x:c>
      <x:c r="N120" s="4" t="n">
        <x:f>K120+M120</x:f>
        <x:v>0.98</x:v>
      </x:c>
      <x:c r="O120" t="str">
        <x:v>00208695/MAT</x:v>
      </x:c>
      <x:c r="P120" t="str">
        <x:v>Sales confirmation for document 47949.pdf</x:v>
      </x:c>
      <x:c r="Q120" s="2" t="n">
        <x:v>1</x:v>
      </x:c>
      <x:c r="R120" t="str">
        <x:v>Запчасть</x:v>
      </x:c>
      <x:c r="S120" t="str"/>
    </x:row>
    <x:row r="121">
      <x:c r="A121" s="1" t="n">
        <x:v>46260</x:v>
      </x:c>
      <x:c r="B121" t="str">
        <x:v>F</x:v>
      </x:c>
      <x:c r="C121" t="str">
        <x:v>00047949/MAT/26/F</x:v>
      </x:c>
      <x:c r="D121" t="str"/>
      <x:c r="E121" s="2" t="n">
        <x:v>2</x:v>
      </x:c>
      <x:c r="F121" t="str">
        <x:v>CRC EXHAUST PASTE 150G Preparat do układu</x:v>
      </x:c>
      <x:c r="G121" t="str">
        <x:v>CRC</x:v>
      </x:c>
      <x:c r="H121" s="3" t="n">
        <x:v>1</x:v>
      </x:c>
      <x:c r="I121" s="4" t="n">
        <x:v>17.32</x:v>
      </x:c>
      <x:c r="J121" s="5" t="n">
        <x:v>0.23</x:v>
      </x:c>
      <x:c r="K121" s="4" t="n">
        <x:f>ROUND(H121*I121,2)</x:f>
        <x:v>17.32</x:v>
      </x:c>
      <x:c r="L121" s="4" t="n">
        <x:v>0</x:v>
      </x:c>
      <x:c r="M121" s="4" t="n">
        <x:f>ROUND(K121*J121,2)+L121</x:f>
        <x:v>3.98</x:v>
      </x:c>
      <x:c r="N121" s="4" t="n">
        <x:f>K121+M121</x:f>
        <x:v>21.3</x:v>
      </x:c>
      <x:c r="O121" t="str">
        <x:v>00208706/MAT</x:v>
      </x:c>
      <x:c r="P121" t="str">
        <x:v>Sales confirmation for document 47949.pdf</x:v>
      </x:c>
      <x:c r="Q121" s="2" t="n">
        <x:v>1</x:v>
      </x:c>
      <x:c r="R121" t="str">
        <x:v>Расходник</x:v>
      </x:c>
      <x:c r="S121" t="str">
        <x:v>Автохимия</x:v>
      </x:c>
    </x:row>
    <x:row r="122">
      <x:c r="A122" s="1" t="n">
        <x:v>46260</x:v>
      </x:c>
      <x:c r="B122" t="str">
        <x:v>F</x:v>
      </x:c>
      <x:c r="C122" t="str">
        <x:v>00047949/MAT/26/F</x:v>
      </x:c>
      <x:c r="D122" t="str"/>
      <x:c r="E122" s="2" t="n">
        <x:v>3</x:v>
      </x:c>
      <x:c r="F122" t="str">
        <x:v>FE101161 Olej ATF</x:v>
      </x:c>
      <x:c r="G122" t="str">
        <x:v>FEBI</x:v>
      </x:c>
      <x:c r="H122" s="3" t="n">
        <x:v>1</x:v>
      </x:c>
      <x:c r="I122" s="4" t="n">
        <x:v>195.51</x:v>
      </x:c>
      <x:c r="J122" s="5" t="n">
        <x:v>0.23</x:v>
      </x:c>
      <x:c r="K122" s="4" t="n">
        <x:f>ROUND(H122*I122,2)</x:f>
        <x:v>195.51</x:v>
      </x:c>
      <x:c r="L122" s="4" t="n">
        <x:v>0</x:v>
      </x:c>
      <x:c r="M122" s="4" t="n">
        <x:f>ROUND(K122*J122,2)+L122</x:f>
        <x:v>44.97</x:v>
      </x:c>
      <x:c r="N122" s="4" t="n">
        <x:f>K122+M122</x:f>
        <x:v>240.48</x:v>
      </x:c>
      <x:c r="O122" t="str">
        <x:v>00208662/MAT</x:v>
      </x:c>
      <x:c r="P122" t="str">
        <x:v>Sales confirmation for document 47949.pdf</x:v>
      </x:c>
      <x:c r="Q122" s="2" t="n">
        <x:v>1</x:v>
      </x:c>
      <x:c r="R122" t="str">
        <x:v>Расходник</x:v>
      </x:c>
      <x:c r="S122" t="str">
        <x:v>Трансмиссионное масло</x:v>
      </x:c>
    </x:row>
    <x:row r="123">
      <x:c r="A123" s="1" t="n">
        <x:v>46260</x:v>
      </x:c>
      <x:c r="B123" t="str">
        <x:v>F</x:v>
      </x:c>
      <x:c r="C123" t="str">
        <x:v>00047993/MAT/26/F</x:v>
      </x:c>
      <x:c r="D123" t="str"/>
      <x:c r="E123" s="2" t="n">
        <x:v>1</x:v>
      </x:c>
      <x:c r="F123" t="str">
        <x:v>EL716710 Uszczelka zaworu EGR</x:v>
      </x:c>
      <x:c r="G123" t="str">
        <x:v>ELRING</x:v>
      </x:c>
      <x:c r="H123" s="3" t="n">
        <x:v>1</x:v>
      </x:c>
      <x:c r="I123" s="4" t="n">
        <x:v>19</x:v>
      </x:c>
      <x:c r="J123" s="5" t="n">
        <x:v>0.23</x:v>
      </x:c>
      <x:c r="K123" s="4" t="n">
        <x:f>ROUND(H123*I123,2)</x:f>
        <x:v>19</x:v>
      </x:c>
      <x:c r="L123" s="4" t="n">
        <x:v>0</x:v>
      </x:c>
      <x:c r="M123" s="4" t="n">
        <x:f>ROUND(K123*J123,2)+L123</x:f>
        <x:v>4.37</x:v>
      </x:c>
      <x:c r="N123" s="4" t="n">
        <x:f>K123+M123</x:f>
        <x:v>23.37</x:v>
      </x:c>
      <x:c r="O123" t="str">
        <x:v>00208737/MAT</x:v>
      </x:c>
      <x:c r="P123" t="str">
        <x:v>Sales confirmation for document 47993.pdf</x:v>
      </x:c>
      <x:c r="Q123" s="2" t="n">
        <x:v>1</x:v>
      </x:c>
      <x:c r="R123" t="str">
        <x:v>Запчасть</x:v>
      </x:c>
      <x:c r="S123" t="str"/>
    </x:row>
    <x:row r="124">
      <x:c r="A124" s="1" t="n">
        <x:v>46260</x:v>
      </x:c>
      <x:c r="B124" t="str">
        <x:v>F</x:v>
      </x:c>
      <x:c r="C124" t="str">
        <x:v>00047993/MAT/26/F</x:v>
      </x:c>
      <x:c r="D124" t="str"/>
      <x:c r="E124" s="2" t="n">
        <x:v>2</x:v>
      </x:c>
      <x:c r="F124" t="str">
        <x:v>AISHVDT-9001 Tarcza sprzęgła pasuje do: LEXUS CT;</x:v>
      </x:c>
      <x:c r="G124" t="str">
        <x:v>AISIN</x:v>
      </x:c>
      <x:c r="H124" s="3" t="n">
        <x:v>1</x:v>
      </x:c>
      <x:c r="I124" s="4" t="n">
        <x:v>702.19</x:v>
      </x:c>
      <x:c r="J124" s="5" t="n">
        <x:v>0.23</x:v>
      </x:c>
      <x:c r="K124" s="4" t="n">
        <x:f>ROUND(H124*I124,2)</x:f>
        <x:v>702.19</x:v>
      </x:c>
      <x:c r="L124" s="4" t="n">
        <x:v>0</x:v>
      </x:c>
      <x:c r="M124" s="4" t="n">
        <x:f>ROUND(K124*J124,2)+L124</x:f>
        <x:v>161.5</x:v>
      </x:c>
      <x:c r="N124" s="4" t="n">
        <x:f>K124+M124</x:f>
        <x:v>863.69</x:v>
      </x:c>
      <x:c r="O124" t="str">
        <x:v>00208812/MAT</x:v>
      </x:c>
      <x:c r="P124" t="str">
        <x:v>Sales confirmation for document 47993.pdf</x:v>
      </x:c>
      <x:c r="Q124" s="2" t="n">
        <x:v>1</x:v>
      </x:c>
      <x:c r="R124" t="str">
        <x:v>Запчасть</x:v>
      </x:c>
      <x:c r="S124" t="str"/>
    </x:row>
    <x:row r="125">
      <x:c r="A125" s="1" t="n">
        <x:v>46260</x:v>
      </x:c>
      <x:c r="B125" t="str">
        <x:v>F</x:v>
      </x:c>
      <x:c r="C125" t="str">
        <x:v>00048035/MAT/26/F</x:v>
      </x:c>
      <x:c r="D125" t="str"/>
      <x:c r="E125" s="2" t="n">
        <x:v>1</x:v>
      </x:c>
      <x:c r="F125" t="str">
        <x:v>EL716710 Uszczelka zaworu EGR</x:v>
      </x:c>
      <x:c r="G125" t="str">
        <x:v>ELRING</x:v>
      </x:c>
      <x:c r="H125" s="3" t="n">
        <x:v>1</x:v>
      </x:c>
      <x:c r="I125" s="4" t="n">
        <x:v>19</x:v>
      </x:c>
      <x:c r="J125" s="5" t="n">
        <x:v>0.23</x:v>
      </x:c>
      <x:c r="K125" s="4" t="n">
        <x:f>ROUND(H125*I125,2)</x:f>
        <x:v>19</x:v>
      </x:c>
      <x:c r="L125" s="4" t="n">
        <x:v>0</x:v>
      </x:c>
      <x:c r="M125" s="4" t="n">
        <x:f>ROUND(K125*J125,2)+L125</x:f>
        <x:v>4.37</x:v>
      </x:c>
      <x:c r="N125" s="4" t="n">
        <x:f>K125+M125</x:f>
        <x:v>23.37</x:v>
      </x:c>
      <x:c r="O125" t="str">
        <x:v>00209009/MAT</x:v>
      </x:c>
      <x:c r="P125" t="str">
        <x:v>Sales confirmation for document 48035.pdf</x:v>
      </x:c>
      <x:c r="Q125" s="2" t="n">
        <x:v>1</x:v>
      </x:c>
      <x:c r="R125" t="str">
        <x:v>Запчасть</x:v>
      </x:c>
      <x:c r="S125" t="str"/>
    </x:row>
    <x:row r="126">
      <x:c r="A126" s="1" t="n">
        <x:v>46260</x:v>
      </x:c>
      <x:c r="B126" t="str">
        <x:v>FK</x:v>
      </x:c>
      <x:c r="C126" t="str">
        <x:v>00012967/MAT/26/FK</x:v>
      </x:c>
      <x:c r="D126" t="str">
        <x:v>00047949/MAT/26/F</x:v>
      </x:c>
      <x:c r="E126" s="2" t="n">
        <x:v>1</x:v>
      </x:c>
      <x:c r="F126" t="str">
        <x:v>EL107239 Uszczelka chłodnicy oleju</x:v>
      </x:c>
      <x:c r="G126" t="str">
        <x:v>ELRING</x:v>
      </x:c>
      <x:c r="H126" s="3" t="n">
        <x:v>-2</x:v>
      </x:c>
      <x:c r="I126" s="4" t="n">
        <x:v>0.4</x:v>
      </x:c>
      <x:c r="J126" s="5" t="n">
        <x:v>0.23</x:v>
      </x:c>
      <x:c r="K126" s="4" t="n">
        <x:f>ROUND(H126*I126,2)</x:f>
        <x:v>-0.8</x:v>
      </x:c>
      <x:c r="L126" s="4" t="n">
        <x:v>0</x:v>
      </x:c>
      <x:c r="M126" s="4" t="n">
        <x:f>ROUND(K126*J126,2)+L126</x:f>
        <x:v>-0.18</x:v>
      </x:c>
      <x:c r="N126" s="4" t="n">
        <x:f>K126+M126</x:f>
        <x:v>-0.98</x:v>
      </x:c>
      <x:c r="O126" t="str"/>
      <x:c r="P126" t="str">
        <x:v>Sales confirmation for document 12967(1).pdf</x:v>
      </x:c>
      <x:c r="Q126" s="2" t="n">
        <x:v>1</x:v>
      </x:c>
      <x:c r="R126" t="str">
        <x:v>Запчасть</x:v>
      </x:c>
      <x:c r="S126" t="str"/>
    </x:row>
    <x:row r="127">
      <x:c r="A127" s="1" t="n">
        <x:v>46261</x:v>
      </x:c>
      <x:c r="B127" t="str">
        <x:v>F</x:v>
      </x:c>
      <x:c r="C127" t="str">
        <x:v>00048093/MAT/26/F</x:v>
      </x:c>
      <x:c r="D127" t="str"/>
      <x:c r="E127" s="2" t="n">
        <x:v>1</x:v>
      </x:c>
      <x:c r="F127" t="str">
        <x:v>EL107239 Uszczelka chłodnicy oleju</x:v>
      </x:c>
      <x:c r="G127" t="str">
        <x:v>ELRING</x:v>
      </x:c>
      <x:c r="H127" s="3" t="n">
        <x:v>2</x:v>
      </x:c>
      <x:c r="I127" s="4" t="n">
        <x:v>0.4</x:v>
      </x:c>
      <x:c r="J127" s="5" t="n">
        <x:v>0.23</x:v>
      </x:c>
      <x:c r="K127" s="4" t="n">
        <x:f>ROUND(H127*I127,2)</x:f>
        <x:v>0.8</x:v>
      </x:c>
      <x:c r="L127" s="4" t="n">
        <x:v>0</x:v>
      </x:c>
      <x:c r="M127" s="4" t="n">
        <x:f>ROUND(K127*J127,2)+L127</x:f>
        <x:v>0.18</x:v>
      </x:c>
      <x:c r="N127" s="4" t="n">
        <x:f>K127+M127</x:f>
        <x:v>0.98</x:v>
      </x:c>
      <x:c r="O127" t="str">
        <x:v>00209342/MAT</x:v>
      </x:c>
      <x:c r="P127" t="str">
        <x:v>Sales confirmation for document 48093.pdf</x:v>
      </x:c>
      <x:c r="Q127" s="2" t="n">
        <x:v>1</x:v>
      </x:c>
      <x:c r="R127" t="str">
        <x:v>Запчасть</x:v>
      </x:c>
      <x:c r="S127" t="str"/>
    </x:row>
    <x:row r="128">
      <x:c r="A128" s="1" t="n">
        <x:v>46261</x:v>
      </x:c>
      <x:c r="B128" t="str">
        <x:v>F</x:v>
      </x:c>
      <x:c r="C128" t="str">
        <x:v>00048093/MAT/26/F</x:v>
      </x:c>
      <x:c r="D128" t="str"/>
      <x:c r="E128" s="2" t="n">
        <x:v>2</x:v>
      </x:c>
      <x:c r="F128" t="str">
        <x:v>ADT32514 Filtr kabiny</x:v>
      </x:c>
      <x:c r="G128" t="str">
        <x:v>BLUE PRINT</x:v>
      </x:c>
      <x:c r="H128" s="3" t="n">
        <x:v>1</x:v>
      </x:c>
      <x:c r="I128" s="4" t="n">
        <x:v>12.59</x:v>
      </x:c>
      <x:c r="J128" s="5" t="n">
        <x:v>0.23</x:v>
      </x:c>
      <x:c r="K128" s="4" t="n">
        <x:f>ROUND(H128*I128,2)</x:f>
        <x:v>12.59</x:v>
      </x:c>
      <x:c r="L128" s="4" t="n">
        <x:v>0</x:v>
      </x:c>
      <x:c r="M128" s="4" t="n">
        <x:f>ROUND(K128*J128,2)+L128</x:f>
        <x:v>2.9</x:v>
      </x:c>
      <x:c r="N128" s="4" t="n">
        <x:f>K128+M128</x:f>
        <x:v>15.49</x:v>
      </x:c>
      <x:c r="O128" t="str">
        <x:v>00208950/MAT</x:v>
      </x:c>
      <x:c r="P128" t="str">
        <x:v>Sales confirmation for document 48093.pdf</x:v>
      </x:c>
      <x:c r="Q128" s="2" t="n">
        <x:v>1</x:v>
      </x:c>
      <x:c r="R128" t="str">
        <x:v>Запчасть</x:v>
      </x:c>
      <x:c r="S128" t="str"/>
    </x:row>
    <x:row r="129">
      <x:c r="A129" s="1" t="n">
        <x:v>46261</x:v>
      </x:c>
      <x:c r="B129" t="str">
        <x:v>F</x:v>
      </x:c>
      <x:c r="C129" t="str">
        <x:v>00048093/MAT/26/F</x:v>
      </x:c>
      <x:c r="D129" t="str"/>
      <x:c r="E129" s="2" t="n">
        <x:v>3</x:v>
      </x:c>
      <x:c r="F129" t="str">
        <x:v>ADD62109 Filtr oleju</x:v>
      </x:c>
      <x:c r="G129" t="str">
        <x:v>BLUE PRINT</x:v>
      </x:c>
      <x:c r="H129" s="3" t="n">
        <x:v>1</x:v>
      </x:c>
      <x:c r="I129" s="4" t="n">
        <x:v>11.26</x:v>
      </x:c>
      <x:c r="J129" s="5" t="n">
        <x:v>0.23</x:v>
      </x:c>
      <x:c r="K129" s="4" t="n">
        <x:f>ROUND(H129*I129,2)</x:f>
        <x:v>11.26</x:v>
      </x:c>
      <x:c r="L129" s="4" t="n">
        <x:v>0</x:v>
      </x:c>
      <x:c r="M129" s="4" t="n">
        <x:f>ROUND(K129*J129,2)+L129</x:f>
        <x:v>2.59</x:v>
      </x:c>
      <x:c r="N129" s="4" t="n">
        <x:f>K129+M129</x:f>
        <x:v>13.85</x:v>
      </x:c>
      <x:c r="O129" t="str">
        <x:v>00208950/MAT</x:v>
      </x:c>
      <x:c r="P129" t="str">
        <x:v>Sales confirmation for document 48093.pdf</x:v>
      </x:c>
      <x:c r="Q129" s="2" t="n">
        <x:v>1</x:v>
      </x:c>
      <x:c r="R129" t="str">
        <x:v>Запчасть</x:v>
      </x:c>
      <x:c r="S129" t="str"/>
    </x:row>
    <x:row r="130">
      <x:c r="A130" s="1" t="n">
        <x:v>46261</x:v>
      </x:c>
      <x:c r="B130" t="str">
        <x:v>F</x:v>
      </x:c>
      <x:c r="C130" t="str">
        <x:v>00048093/MAT/26/F</x:v>
      </x:c>
      <x:c r="D130" t="str"/>
      <x:c r="E130" s="2" t="n">
        <x:v>4</x:v>
      </x:c>
      <x:c r="F130" t="str">
        <x:v>PUR-PA8098 Filtr powietrza</x:v>
      </x:c>
      <x:c r="G130" t="str">
        <x:v>PURRO</x:v>
      </x:c>
      <x:c r="H130" s="3" t="n">
        <x:v>1</x:v>
      </x:c>
      <x:c r="I130" s="4" t="n">
        <x:v>19.6</x:v>
      </x:c>
      <x:c r="J130" s="5" t="n">
        <x:v>0.23</x:v>
      </x:c>
      <x:c r="K130" s="4" t="n">
        <x:f>ROUND(H130*I130,2)</x:f>
        <x:v>19.6</x:v>
      </x:c>
      <x:c r="L130" s="4" t="n">
        <x:v>0</x:v>
      </x:c>
      <x:c r="M130" s="4" t="n">
        <x:f>ROUND(K130*J130,2)+L130</x:f>
        <x:v>4.51</x:v>
      </x:c>
      <x:c r="N130" s="4" t="n">
        <x:f>K130+M130</x:f>
        <x:v>24.11</x:v>
      </x:c>
      <x:c r="O130" t="str">
        <x:v>00208950/MAT</x:v>
      </x:c>
      <x:c r="P130" t="str">
        <x:v>Sales confirmation for document 48093.pdf</x:v>
      </x:c>
      <x:c r="Q130" s="2" t="n">
        <x:v>1</x:v>
      </x:c>
      <x:c r="R130" t="str">
        <x:v>Запчасть</x:v>
      </x:c>
      <x:c r="S130" t="str"/>
    </x:row>
    <x:row r="131">
      <x:c r="A131" s="1" t="n">
        <x:v>46261</x:v>
      </x:c>
      <x:c r="B131" t="str">
        <x:v>F</x:v>
      </x:c>
      <x:c r="C131" t="str">
        <x:v>00048093/MAT/26/F</x:v>
      </x:c>
      <x:c r="D131" t="str"/>
      <x:c r="E131" s="2" t="n">
        <x:v>5</x:v>
      </x:c>
      <x:c r="F131" t="str">
        <x:v>EL716710 Uszczelka zaworu EGR</x:v>
      </x:c>
      <x:c r="G131" t="str">
        <x:v>ELRING</x:v>
      </x:c>
      <x:c r="H131" s="3" t="n">
        <x:v>1</x:v>
      </x:c>
      <x:c r="I131" s="4" t="n">
        <x:v>19</x:v>
      </x:c>
      <x:c r="J131" s="5" t="n">
        <x:v>0.23</x:v>
      </x:c>
      <x:c r="K131" s="4" t="n">
        <x:f>ROUND(H131*I131,2)</x:f>
        <x:v>19</x:v>
      </x:c>
      <x:c r="L131" s="4" t="n">
        <x:v>0</x:v>
      </x:c>
      <x:c r="M131" s="4" t="n">
        <x:f>ROUND(K131*J131,2)+L131</x:f>
        <x:v>4.37</x:v>
      </x:c>
      <x:c r="N131" s="4" t="n">
        <x:f>K131+M131</x:f>
        <x:v>23.37</x:v>
      </x:c>
      <x:c r="O131" t="str">
        <x:v>00209343/MAT</x:v>
      </x:c>
      <x:c r="P131" t="str">
        <x:v>Sales confirmation for document 48093.pdf</x:v>
      </x:c>
      <x:c r="Q131" s="2" t="n">
        <x:v>1</x:v>
      </x:c>
      <x:c r="R131" t="str">
        <x:v>Запчасть</x:v>
      </x:c>
      <x:c r="S131" t="str"/>
    </x:row>
    <x:row r="132">
      <x:c r="A132" s="1" t="n">
        <x:v>46261</x:v>
      </x:c>
      <x:c r="B132" t="str">
        <x:v>F</x:v>
      </x:c>
      <x:c r="C132" t="str">
        <x:v>00048093/MAT/26/F</x:v>
      </x:c>
      <x:c r="D132" t="str"/>
      <x:c r="E132" s="2" t="n">
        <x:v>6</x:v>
      </x:c>
      <x:c r="F132" t="str">
        <x:v>RESTORE&amp;PROTECT 5W30 5L Olej silnikowy</x:v>
      </x:c>
      <x:c r="G132" t="str">
        <x:v>VALVOLINE</x:v>
      </x:c>
      <x:c r="H132" s="3" t="n">
        <x:v>1</x:v>
      </x:c>
      <x:c r="I132" s="4" t="n">
        <x:v>159.57</x:v>
      </x:c>
      <x:c r="J132" s="5" t="n">
        <x:v>0.23</x:v>
      </x:c>
      <x:c r="K132" s="4" t="n">
        <x:f>ROUND(H132*I132,2)</x:f>
        <x:v>159.57</x:v>
      </x:c>
      <x:c r="L132" s="4" t="n">
        <x:v>0</x:v>
      </x:c>
      <x:c r="M132" s="4" t="n">
        <x:f>ROUND(K132*J132,2)+L132</x:f>
        <x:v>36.7</x:v>
      </x:c>
      <x:c r="N132" s="4" t="n">
        <x:f>K132+M132</x:f>
        <x:v>196.26999999999998</x:v>
      </x:c>
      <x:c r="O132" t="str">
        <x:v>00208950/MAT</x:v>
      </x:c>
      <x:c r="P132" t="str">
        <x:v>Sales confirmation for document 48093.pdf</x:v>
      </x:c>
      <x:c r="Q132" s="2" t="n">
        <x:v>1</x:v>
      </x:c>
      <x:c r="R132" t="str">
        <x:v>Расходник</x:v>
      </x:c>
      <x:c r="S132" t="str">
        <x:v>Моторное масло</x:v>
      </x:c>
    </x:row>
    <x:row r="133">
      <x:c r="A133" s="1" t="n">
        <x:v>46261</x:v>
      </x:c>
      <x:c r="B133" t="str">
        <x:v>F</x:v>
      </x:c>
      <x:c r="C133" t="str">
        <x:v>00048265/MAT/26/F</x:v>
      </x:c>
      <x:c r="D133" t="str"/>
      <x:c r="E133" s="2" t="n">
        <x:v>1</x:v>
      </x:c>
      <x:c r="F133" t="str">
        <x:v>12372-37200 Poduszka silnika</x:v>
      </x:c>
      <x:c r="G133" t="str">
        <x:v>OE TOYOTA</x:v>
      </x:c>
      <x:c r="H133" s="3" t="n">
        <x:v>1</x:v>
      </x:c>
      <x:c r="I133" s="4" t="n">
        <x:v>494.38</x:v>
      </x:c>
      <x:c r="J133" s="5" t="n">
        <x:v>0.23</x:v>
      </x:c>
      <x:c r="K133" s="4" t="n">
        <x:f>ROUND(H133*I133,2)</x:f>
        <x:v>494.38</x:v>
      </x:c>
      <x:c r="L133" s="4" t="n">
        <x:v>0</x:v>
      </x:c>
      <x:c r="M133" s="4" t="n">
        <x:f>ROUND(K133*J133,2)+L133</x:f>
        <x:v>113.71</x:v>
      </x:c>
      <x:c r="N133" s="4" t="n">
        <x:f>K133+M133</x:f>
        <x:v>608.09</x:v>
      </x:c>
      <x:c r="O133" t="str">
        <x:v>00210160/MAT</x:v>
      </x:c>
      <x:c r="P133" t="str">
        <x:v>Sales confirmation for document 48265.pdf</x:v>
      </x:c>
      <x:c r="Q133" s="2" t="n">
        <x:v>1</x:v>
      </x:c>
      <x:c r="R133" t="str">
        <x:v>Запчасть</x:v>
      </x:c>
      <x:c r="S133" t="str"/>
    </x:row>
    <x:row r="134">
      <x:c r="A134" s="1" t="n">
        <x:v>46265</x:v>
      </x:c>
      <x:c r="B134" t="str">
        <x:v>F</x:v>
      </x:c>
      <x:c r="C134" t="str">
        <x:v>00048778/MAT/26/F</x:v>
      </x:c>
      <x:c r="D134" t="str"/>
      <x:c r="E134" s="2" t="n">
        <x:v>1</x:v>
      </x:c>
      <x:c r="F134" t="str">
        <x:v>OC534 Filtr oleju</x:v>
      </x:c>
      <x:c r="G134" t="str">
        <x:v>KNECHT</x:v>
      </x:c>
      <x:c r="H134" s="3" t="n">
        <x:v>1</x:v>
      </x:c>
      <x:c r="I134" s="4" t="n">
        <x:v>14.38</x:v>
      </x:c>
      <x:c r="J134" s="5" t="n">
        <x:v>0.23</x:v>
      </x:c>
      <x:c r="K134" s="4" t="n">
        <x:f>ROUND(H134*I134,2)</x:f>
        <x:v>14.38</x:v>
      </x:c>
      <x:c r="L134" s="4" t="n">
        <x:v>0</x:v>
      </x:c>
      <x:c r="M134" s="4" t="n">
        <x:f>ROUND(K134*J134,2)+L134</x:f>
        <x:v>3.31</x:v>
      </x:c>
      <x:c r="N134" s="4" t="n">
        <x:f>K134+M134</x:f>
        <x:v>17.69</x:v>
      </x:c>
      <x:c r="O134" t="str">
        <x:v>00212090/MAT</x:v>
      </x:c>
      <x:c r="P134" t="str">
        <x:v>Sales confirmation for document 48778.pdf</x:v>
      </x:c>
      <x:c r="Q134" s="2" t="n">
        <x:v>1</x:v>
      </x:c>
      <x:c r="R134" t="str">
        <x:v>Запчасть</x:v>
      </x:c>
      <x:c r="S134" t="str"/>
    </x:row>
    <x:row r="135">
      <x:c r="A135" s="1" t="n">
        <x:v>46265</x:v>
      </x:c>
      <x:c r="B135" t="str">
        <x:v>F</x:v>
      </x:c>
      <x:c r="C135" t="str">
        <x:v>00048778/MAT/26/F</x:v>
      </x:c>
      <x:c r="D135" t="str"/>
      <x:c r="E135" s="2" t="n">
        <x:v>2</x:v>
      </x:c>
      <x:c r="F135" t="str">
        <x:v>VAL715551 Filtr kabiny</x:v>
      </x:c>
      <x:c r="G135" t="str">
        <x:v>VALEO</x:v>
      </x:c>
      <x:c r="H135" s="3" t="n">
        <x:v>1</x:v>
      </x:c>
      <x:c r="I135" s="4" t="n">
        <x:v>18.32</x:v>
      </x:c>
      <x:c r="J135" s="5" t="n">
        <x:v>0.23</x:v>
      </x:c>
      <x:c r="K135" s="4" t="n">
        <x:f>ROUND(H135*I135,2)</x:f>
        <x:v>18.32</x:v>
      </x:c>
      <x:c r="L135" s="4" t="n">
        <x:v>0</x:v>
      </x:c>
      <x:c r="M135" s="4" t="n">
        <x:f>ROUND(K135*J135,2)+L135</x:f>
        <x:v>4.21</x:v>
      </x:c>
      <x:c r="N135" s="4" t="n">
        <x:f>K135+M135</x:f>
        <x:v>22.53</x:v>
      </x:c>
      <x:c r="O135" t="str">
        <x:v>00212090/MAT</x:v>
      </x:c>
      <x:c r="P135" t="str">
        <x:v>Sales confirmation for document 48778.pdf</x:v>
      </x:c>
      <x:c r="Q135" s="2" t="n">
        <x:v>1</x:v>
      </x:c>
      <x:c r="R135" t="str">
        <x:v>Запчасть</x:v>
      </x:c>
      <x:c r="S135" t="str"/>
    </x:row>
    <x:row r="136">
      <x:c r="A136" s="1" t="n">
        <x:v>46265</x:v>
      </x:c>
      <x:c r="B136" t="str">
        <x:v>F</x:v>
      </x:c>
      <x:c r="C136" t="str">
        <x:v>00048778/MAT/26/F</x:v>
      </x:c>
      <x:c r="D136" t="str"/>
      <x:c r="E136" s="2" t="n">
        <x:v>3</x:v>
      </x:c>
      <x:c r="F136" t="str">
        <x:v>ADBP220027 Filtr powietrza</x:v>
      </x:c>
      <x:c r="G136" t="str">
        <x:v>BLUE PRINT</x:v>
      </x:c>
      <x:c r="H136" s="3" t="n">
        <x:v>1</x:v>
      </x:c>
      <x:c r="I136" s="4" t="n">
        <x:v>24.44</x:v>
      </x:c>
      <x:c r="J136" s="5" t="n">
        <x:v>0.23</x:v>
      </x:c>
      <x:c r="K136" s="4" t="n">
        <x:f>ROUND(H136*I136,2)</x:f>
        <x:v>24.44</x:v>
      </x:c>
      <x:c r="L136" s="4" t="n">
        <x:v>0</x:v>
      </x:c>
      <x:c r="M136" s="4" t="n">
        <x:f>ROUND(K136*J136,2)+L136</x:f>
        <x:v>5.62</x:v>
      </x:c>
      <x:c r="N136" s="4" t="n">
        <x:f>K136+M136</x:f>
        <x:v>30.060000000000002</x:v>
      </x:c>
      <x:c r="O136" t="str">
        <x:v>00212090/MAT</x:v>
      </x:c>
      <x:c r="P136" t="str">
        <x:v>Sales confirmation for document 48778.pdf</x:v>
      </x:c>
      <x:c r="Q136" s="2" t="n">
        <x:v>1</x:v>
      </x:c>
      <x:c r="R136" t="str">
        <x:v>Запчасть</x:v>
      </x:c>
      <x:c r="S136" t="str"/>
    </x:row>
    <x:row r="137">
      <x:c r="A137" s="1" t="n">
        <x:v>46265</x:v>
      </x:c>
      <x:c r="B137" t="str">
        <x:v>F</x:v>
      </x:c>
      <x:c r="C137" t="str">
        <x:v>00048778/MAT/26/F</x:v>
      </x:c>
      <x:c r="D137" t="str"/>
      <x:c r="E137" s="2" t="n">
        <x:v>4</x:v>
      </x:c>
      <x:c r="F137" t="str">
        <x:v>NGEN HYBRID 0W8 4L Olej silnikowy NGEN HYBRID (4L)</x:v>
      </x:c>
      <x:c r="G137" t="str">
        <x:v>MOTUL</x:v>
      </x:c>
      <x:c r="H137" s="3" t="n">
        <x:v>1</x:v>
      </x:c>
      <x:c r="I137" s="4" t="n">
        <x:v>229.83</x:v>
      </x:c>
      <x:c r="J137" s="5" t="n">
        <x:v>0.23</x:v>
      </x:c>
      <x:c r="K137" s="4" t="n">
        <x:f>ROUND(H137*I137,2)</x:f>
        <x:v>229.83</x:v>
      </x:c>
      <x:c r="L137" s="4" t="n">
        <x:v>0</x:v>
      </x:c>
      <x:c r="M137" s="4" t="n">
        <x:f>ROUND(K137*J137,2)+L137</x:f>
        <x:v>52.86</x:v>
      </x:c>
      <x:c r="N137" s="4" t="n">
        <x:f>K137+M137</x:f>
        <x:v>282.69</x:v>
      </x:c>
      <x:c r="O137" t="str">
        <x:v>00212020/MAT</x:v>
      </x:c>
      <x:c r="P137" t="str">
        <x:v>Sales confirmation for document 48778.pdf</x:v>
      </x:c>
      <x:c r="Q137" s="2" t="n">
        <x:v>1</x:v>
      </x:c>
      <x:c r="R137" t="str">
        <x:v>Расходник</x:v>
      </x:c>
      <x:c r="S137" t="str">
        <x:v>Моторное масло</x:v>
      </x:c>
    </x:row>
    <x:row r="138">
      <x:c r="A138" s="1" t="n">
        <x:v>46265</x:v>
      </x:c>
      <x:c r="B138" t="str">
        <x:v>F</x:v>
      </x:c>
      <x:c r="C138" t="str">
        <x:v>00048836/MAT/26/F</x:v>
      </x:c>
      <x:c r="D138" t="str"/>
      <x:c r="E138" s="2" t="n">
        <x:v>1</x:v>
      </x:c>
      <x:c r="F138" t="str">
        <x:v>AP 149/3 Filtr powietrza</x:v>
      </x:c>
      <x:c r="G138" t="str">
        <x:v>FILTRON</x:v>
      </x:c>
      <x:c r="H138" s="3" t="n">
        <x:v>1</x:v>
      </x:c>
      <x:c r="I138" s="4" t="n">
        <x:v>22.78</x:v>
      </x:c>
      <x:c r="J138" s="5" t="n">
        <x:v>0.23</x:v>
      </x:c>
      <x:c r="K138" s="4" t="n">
        <x:f>ROUND(H138*I138,2)</x:f>
        <x:v>22.78</x:v>
      </x:c>
      <x:c r="L138" s="4" t="n">
        <x:v>0</x:v>
      </x:c>
      <x:c r="M138" s="4" t="n">
        <x:f>ROUND(K138*J138,2)+L138</x:f>
        <x:v>5.24</x:v>
      </x:c>
      <x:c r="N138" s="4" t="n">
        <x:f>K138+M138</x:f>
        <x:v>28.020000000000003</x:v>
      </x:c>
      <x:c r="O138" t="str">
        <x:v>00212291/MAT</x:v>
      </x:c>
      <x:c r="P138" t="str">
        <x:v>Sales confirmation for document 48836.pdf</x:v>
      </x:c>
      <x:c r="Q138" s="2" t="n">
        <x:v>1</x:v>
      </x:c>
      <x:c r="R138" t="str">
        <x:v>Запчасть</x:v>
      </x:c>
      <x:c r="S138" t="str"/>
    </x:row>
    <x:row r="139">
      <x:c r="A139" s="1" t="n">
        <x:v>46265</x:v>
      </x:c>
      <x:c r="B139" t="str">
        <x:v>F</x:v>
      </x:c>
      <x:c r="C139" t="str">
        <x:v>00048836/MAT/26/F</x:v>
      </x:c>
      <x:c r="D139" t="str"/>
      <x:c r="E139" s="2" t="n">
        <x:v>2</x:v>
      </x:c>
      <x:c r="F139" t="str">
        <x:v>E468L Filtr powietrza</x:v>
      </x:c>
      <x:c r="G139" t="str">
        <x:v>HENGST</x:v>
      </x:c>
      <x:c r="H139" s="3" t="n">
        <x:v>1</x:v>
      </x:c>
      <x:c r="I139" s="4" t="n">
        <x:v>49.13</x:v>
      </x:c>
      <x:c r="J139" s="5" t="n">
        <x:v>0.23</x:v>
      </x:c>
      <x:c r="K139" s="4" t="n">
        <x:f>ROUND(H139*I139,2)</x:f>
        <x:v>49.13</x:v>
      </x:c>
      <x:c r="L139" s="4" t="n">
        <x:v>0</x:v>
      </x:c>
      <x:c r="M139" s="4" t="n">
        <x:f>ROUND(K139*J139,2)+L139</x:f>
        <x:v>11.3</x:v>
      </x:c>
      <x:c r="N139" s="4" t="n">
        <x:f>K139+M139</x:f>
        <x:v>60.43000000000001</x:v>
      </x:c>
      <x:c r="O139" t="str">
        <x:v>00212250/MAT</x:v>
      </x:c>
      <x:c r="P139" t="str">
        <x:v>Sales confirmation for document 48836.pdf</x:v>
      </x:c>
      <x:c r="Q139" s="2" t="n">
        <x:v>1</x:v>
      </x:c>
      <x:c r="R139" t="str">
        <x:v>Запчасть</x:v>
      </x:c>
      <x:c r="S139" t="str"/>
    </x:row>
  </x:sheetData>
  <x:conditionalFormatting sqref="B2:B139">
    <x:cfRule type="containsText" dxfId="0" priority="1" operator="containsText" text="FK"/>
  </x:conditionalFormatting>
  <x:conditionalFormatting sqref="N2:N139">
    <x:cfRule type="cellIs" dxfId="1" priority="2" operator="lessThan">
      <x:formula>0</x:formula>
    </x:cfRule>
  </x:conditionalFormatting>
  <x:conditionalFormatting sqref="R2:R139">
    <x:cfRule type="containsText" dxfId="2" priority="3" operator="containsText" text="Расходник"/>
  </x:conditionalFormatting>
  <x:dataValidations count="1">
    <x:dataValidation type="list" sqref="R2:R139">
      <x:formula1>"Запчасть,Расходник"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30b83d8814b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0" hidden="0" customWidth="1"/>
    <x:col min="3" max="3" width="18" hidden="0" customWidth="1"/>
    <x:col min="4" max="4" width="18" hidden="0" customWidth="1"/>
    <x:col min="5" max="5" width="15" hidden="0" customWidth="1"/>
    <x:col min="6" max="6" width="19" hidden="0" customWidth="1"/>
  </x:cols>
  <x:sheetData>
    <x:row r="1" ht="36" customHeight="1">
      <x:c r="A1" s="22" t="str">
        <x:v>Товар / описание</x:v>
      </x:c>
      <x:c r="B1" s="22" t="str">
        <x:v>Производитель</x:v>
      </x:c>
      <x:c r="C1" s="22" t="str">
        <x:v>Количество netto</x:v>
      </x:c>
      <x:c r="D1" s="22" t="str">
        <x:v>Сумма netto, zł</x:v>
      </x:c>
      <x:c r="E1" s="22" t="str">
        <x:v>VAT, zł</x:v>
      </x:c>
      <x:c r="F1" s="22" t="str">
        <x:v>Сумма brutto, zł</x:v>
      </x:c>
    </x:row>
    <x:row r="2">
      <x:c r="A2" t="str">
        <x:v>#11-0825 Przekładnia kierownicza ze wspomaganiem</x:v>
      </x:c>
      <x:c r="B2" t="str">
        <x:v>ELSTOCK</x:v>
      </x:c>
      <x:c r="C2" s="3" t="n">
        <x:f>SUMIFS('Все позиции'!$H$2:$H$139,'Все позиции'!$F$2:$F$139,A2,'Все позиции'!$G$2:$G$139,B2,'Все позиции'!$R$2:$R$139,"Запчасть")</x:f>
        <x:v>-1</x:v>
      </x:c>
      <x:c r="D2" s="4" t="n">
        <x:f>SUMIFS('Все позиции'!$K$2:$K$139,'Все позиции'!$F$2:$F$139,A2,'Все позиции'!$G$2:$G$139,B2,'Все позиции'!$R$2:$R$139,"Запчасть")</x:f>
        <x:v>-645</x:v>
      </x:c>
      <x:c r="E2" s="4" t="n">
        <x:f>SUMIFS('Все позиции'!$M$2:$M$139,'Все позиции'!$F$2:$F$139,A2,'Все позиции'!$G$2:$G$139,B2,'Все позиции'!$R$2:$R$139,"Запчасть")</x:f>
        <x:v>-148.35</x:v>
      </x:c>
      <x:c r="F2" s="4" t="n">
        <x:f>SUMIFS('Все позиции'!$N$2:$N$139,'Все позиции'!$F$2:$F$139,A2,'Все позиции'!$G$2:$G$139,B2,'Все позиции'!$R$2:$R$139,"Запчасть")</x:f>
        <x:v>-793.35</x:v>
      </x:c>
    </x:row>
    <x:row r="3">
      <x:c r="A3" t="str">
        <x:v>#STX100004R Alternator</x:v>
      </x:c>
      <x:c r="B3" t="str">
        <x:v>STARDAX</x:v>
      </x:c>
      <x:c r="C3" s="3" t="n">
        <x:f>SUMIFS('Все позиции'!$H$2:$H$139,'Все позиции'!$F$2:$F$139,A3,'Все позиции'!$G$2:$G$139,B3,'Все позиции'!$R$2:$R$139,"Запчасть")</x:f>
        <x:v>-1</x:v>
      </x:c>
      <x:c r="D3" s="4" t="n">
        <x:f>SUMIFS('Все позиции'!$K$2:$K$139,'Все позиции'!$F$2:$F$139,A3,'Все позиции'!$G$2:$G$139,B3,'Все позиции'!$R$2:$R$139,"Запчасть")</x:f>
        <x:v>-90</x:v>
      </x:c>
      <x:c r="E3" s="4" t="n">
        <x:f>SUMIFS('Все позиции'!$M$2:$M$139,'Все позиции'!$F$2:$F$139,A3,'Все позиции'!$G$2:$G$139,B3,'Все позиции'!$R$2:$R$139,"Запчасть")</x:f>
        <x:v>-20.7</x:v>
      </x:c>
      <x:c r="F3" s="4" t="n">
        <x:f>SUMIFS('Все позиции'!$N$2:$N$139,'Все позиции'!$F$2:$F$139,A3,'Все позиции'!$G$2:$G$139,B3,'Все позиции'!$R$2:$R$139,"Запчасть")</x:f>
        <x:v>-110.7</x:v>
      </x:c>
    </x:row>
    <x:row r="4">
      <x:c r="A4" t="str">
        <x:v>0 258 006 046 Sonda lambda</x:v>
      </x:c>
      <x:c r="B4" t="str">
        <x:v>BOSCH</x:v>
      </x:c>
      <x:c r="C4" s="3" t="n">
        <x:f>SUMIFS('Все позиции'!$H$2:$H$139,'Все позиции'!$F$2:$F$139,A4,'Все позиции'!$G$2:$G$139,B4,'Все позиции'!$R$2:$R$139,"Запчасть")</x:f>
        <x:v>1</x:v>
      </x:c>
      <x:c r="D4" s="4" t="n">
        <x:f>SUMIFS('Все позиции'!$K$2:$K$139,'Все позиции'!$F$2:$F$139,A4,'Все позиции'!$G$2:$G$139,B4,'Все позиции'!$R$2:$R$139,"Запчасть")</x:f>
        <x:v>140.45</x:v>
      </x:c>
      <x:c r="E4" s="4" t="n">
        <x:f>SUMIFS('Все позиции'!$M$2:$M$139,'Все позиции'!$F$2:$F$139,A4,'Все позиции'!$G$2:$G$139,B4,'Все позиции'!$R$2:$R$139,"Запчасть")</x:f>
        <x:v>32.3</x:v>
      </x:c>
      <x:c r="F4" s="4" t="n">
        <x:f>SUMIFS('Все позиции'!$N$2:$N$139,'Все позиции'!$F$2:$F$139,A4,'Все позиции'!$G$2:$G$139,B4,'Все позиции'!$R$2:$R$139,"Запчасть")</x:f>
        <x:v>172.75</x:v>
      </x:c>
    </x:row>
    <x:row r="5">
      <x:c r="A5" t="str">
        <x:v>0 986 424 797 Klocek hamulcowy kpl.</x:v>
      </x:c>
      <x:c r="B5" t="str">
        <x:v>BOSCH</x:v>
      </x:c>
      <x:c r="C5" s="3" t="n">
        <x:f>SUMIFS('Все позиции'!$H$2:$H$139,'Все позиции'!$F$2:$F$139,A5,'Все позиции'!$G$2:$G$139,B5,'Все позиции'!$R$2:$R$139,"Запчасть")</x:f>
        <x:v>1</x:v>
      </x:c>
      <x:c r="D5" s="4" t="n">
        <x:f>SUMIFS('Все позиции'!$K$2:$K$139,'Все позиции'!$F$2:$F$139,A5,'Все позиции'!$G$2:$G$139,B5,'Все позиции'!$R$2:$R$139,"Запчасть")</x:f>
        <x:v>94.26</x:v>
      </x:c>
      <x:c r="E5" s="4" t="n">
        <x:f>SUMIFS('Все позиции'!$M$2:$M$139,'Все позиции'!$F$2:$F$139,A5,'Все позиции'!$G$2:$G$139,B5,'Все позиции'!$R$2:$R$139,"Запчасть")</x:f>
        <x:v>21.68</x:v>
      </x:c>
      <x:c r="F5" s="4" t="n">
        <x:f>SUMIFS('Все позиции'!$N$2:$N$139,'Все позиции'!$F$2:$F$139,A5,'Все позиции'!$G$2:$G$139,B5,'Все позиции'!$R$2:$R$139,"Запчасть")</x:f>
        <x:v>115.94</x:v>
      </x:c>
    </x:row>
    <x:row r="6">
      <x:c r="A6" t="str">
        <x:v>1 986 AD1 330 Kompresor klimatyzacji</x:v>
      </x:c>
      <x:c r="B6" t="str">
        <x:v>BOSCH</x:v>
      </x:c>
      <x:c r="C6" s="3" t="n">
        <x:f>SUMIFS('Все позиции'!$H$2:$H$139,'Все позиции'!$F$2:$F$139,A6,'Все позиции'!$G$2:$G$139,B6,'Все позиции'!$R$2:$R$139,"Запчасть")</x:f>
        <x:v>1</x:v>
      </x:c>
      <x:c r="D6" s="4" t="n">
        <x:f>SUMIFS('Все позиции'!$K$2:$K$139,'Все позиции'!$F$2:$F$139,A6,'Все позиции'!$G$2:$G$139,B6,'Все позиции'!$R$2:$R$139,"Запчасть")</x:f>
        <x:v>1049.16</x:v>
      </x:c>
      <x:c r="E6" s="4" t="n">
        <x:f>SUMIFS('Все позиции'!$M$2:$M$139,'Все позиции'!$F$2:$F$139,A6,'Все позиции'!$G$2:$G$139,B6,'Все позиции'!$R$2:$R$139,"Запчасть")</x:f>
        <x:v>241.31</x:v>
      </x:c>
      <x:c r="F6" s="4" t="n">
        <x:f>SUMIFS('Все позиции'!$N$2:$N$139,'Все позиции'!$F$2:$F$139,A6,'Все позиции'!$G$2:$G$139,B6,'Все позиции'!$R$2:$R$139,"Запчасть")</x:f>
        <x:v>1290.47</x:v>
      </x:c>
    </x:row>
    <x:row r="7">
      <x:c r="A7" t="str">
        <x:v>1 987 302 777 Żarówka H7</x:v>
      </x:c>
      <x:c r="B7" t="str">
        <x:v>BOSCH</x:v>
      </x:c>
      <x:c r="C7" s="3" t="n">
        <x:f>SUMIFS('Все позиции'!$H$2:$H$139,'Все позиции'!$F$2:$F$139,A7,'Все позиции'!$G$2:$G$139,B7,'Все позиции'!$R$2:$R$139,"Запчасть")</x:f>
        <x:v>6</x:v>
      </x:c>
      <x:c r="D7" s="4" t="n">
        <x:f>SUMIFS('Все позиции'!$K$2:$K$139,'Все позиции'!$F$2:$F$139,A7,'Все позиции'!$G$2:$G$139,B7,'Все позиции'!$R$2:$R$139,"Запчасть")</x:f>
        <x:v>39.3</x:v>
      </x:c>
      <x:c r="E7" s="4" t="n">
        <x:f>SUMIFS('Все позиции'!$M$2:$M$139,'Все позиции'!$F$2:$F$139,A7,'Все позиции'!$G$2:$G$139,B7,'Все позиции'!$R$2:$R$139,"Запчасть")</x:f>
        <x:v>9.04</x:v>
      </x:c>
      <x:c r="F7" s="4" t="n">
        <x:f>SUMIFS('Все позиции'!$N$2:$N$139,'Все позиции'!$F$2:$F$139,A7,'Все позиции'!$G$2:$G$139,B7,'Все позиции'!$R$2:$R$139,"Запчасть")</x:f>
        <x:v>48.339999999999996</x:v>
      </x:c>
    </x:row>
    <x:row r="8">
      <x:c r="A8" t="str">
        <x:v>100 955 0006 Pompka spryskiwacza</x:v>
      </x:c>
      <x:c r="B8" t="str">
        <x:v>MEYLE</x:v>
      </x:c>
      <x:c r="C8" s="3" t="n">
        <x:f>SUMIFS('Все позиции'!$H$2:$H$139,'Все позиции'!$F$2:$F$139,A8,'Все позиции'!$G$2:$G$139,B8,'Все позиции'!$R$2:$R$139,"Запчасть")</x:f>
        <x:v>1</x:v>
      </x:c>
      <x:c r="D8" s="4" t="n">
        <x:f>SUMIFS('Все позиции'!$K$2:$K$139,'Все позиции'!$F$2:$F$139,A8,'Все позиции'!$G$2:$G$139,B8,'Все позиции'!$R$2:$R$139,"Запчасть")</x:f>
        <x:v>20.61</x:v>
      </x:c>
      <x:c r="E8" s="4" t="n">
        <x:f>SUMIFS('Все позиции'!$M$2:$M$139,'Все позиции'!$F$2:$F$139,A8,'Все позиции'!$G$2:$G$139,B8,'Все позиции'!$R$2:$R$139,"Запчасть")</x:f>
        <x:v>4.74</x:v>
      </x:c>
      <x:c r="F8" s="4" t="n">
        <x:f>SUMIFS('Все позиции'!$N$2:$N$139,'Все позиции'!$F$2:$F$139,A8,'Все позиции'!$G$2:$G$139,B8,'Все позиции'!$R$2:$R$139,"Запчасть")</x:f>
        <x:v>25.35</x:v>
      </x:c>
    </x:row>
    <x:row r="9">
      <x:c r="A9" t="str">
        <x:v>12372-37200 Poduszka silnika</x:v>
      </x:c>
      <x:c r="B9" t="str">
        <x:v>OE TOYOTA</x:v>
      </x:c>
      <x:c r="C9" s="3" t="n">
        <x:f>SUMIFS('Все позиции'!$H$2:$H$139,'Все позиции'!$F$2:$F$139,A9,'Все позиции'!$G$2:$G$139,B9,'Все позиции'!$R$2:$R$139,"Запчасть")</x:f>
        <x:v>1</x:v>
      </x:c>
      <x:c r="D9" s="4" t="n">
        <x:f>SUMIFS('Все позиции'!$K$2:$K$139,'Все позиции'!$F$2:$F$139,A9,'Все позиции'!$G$2:$G$139,B9,'Все позиции'!$R$2:$R$139,"Запчасть")</x:f>
        <x:v>494.38</x:v>
      </x:c>
      <x:c r="E9" s="4" t="n">
        <x:f>SUMIFS('Все позиции'!$M$2:$M$139,'Все позиции'!$F$2:$F$139,A9,'Все позиции'!$G$2:$G$139,B9,'Все позиции'!$R$2:$R$139,"Запчасть")</x:f>
        <x:v>113.71</x:v>
      </x:c>
      <x:c r="F9" s="4" t="n">
        <x:f>SUMIFS('Все позиции'!$N$2:$N$139,'Все позиции'!$F$2:$F$139,A9,'Все позиции'!$G$2:$G$139,B9,'Все позиции'!$R$2:$R$139,"Запчасть")</x:f>
        <x:v>608.09</x:v>
      </x:c>
    </x:row>
    <x:row r="10">
      <x:c r="A10" t="str">
        <x:v>13.0460-2655.2 Klocek hamulcowy kpl.</x:v>
      </x:c>
      <x:c r="B10" t="str">
        <x:v>ATE</x:v>
      </x:c>
      <x:c r="C10" s="3" t="n">
        <x:f>SUMIFS('Все позиции'!$H$2:$H$139,'Все позиции'!$F$2:$F$139,A10,'Все позиции'!$G$2:$G$139,B10,'Все позиции'!$R$2:$R$139,"Запчасть")</x:f>
        <x:v>1</x:v>
      </x:c>
      <x:c r="D10" s="4" t="n">
        <x:f>SUMIFS('Все позиции'!$K$2:$K$139,'Все позиции'!$F$2:$F$139,A10,'Все позиции'!$G$2:$G$139,B10,'Все позиции'!$R$2:$R$139,"Запчасть")</x:f>
        <x:v>178.71</x:v>
      </x:c>
      <x:c r="E10" s="4" t="n">
        <x:f>SUMIFS('Все позиции'!$M$2:$M$139,'Все позиции'!$F$2:$F$139,A10,'Все позиции'!$G$2:$G$139,B10,'Все позиции'!$R$2:$R$139,"Запчасть")</x:f>
        <x:v>41.1</x:v>
      </x:c>
      <x:c r="F10" s="4" t="n">
        <x:f>SUMIFS('Все позиции'!$N$2:$N$139,'Все позиции'!$F$2:$F$139,A10,'Все позиции'!$G$2:$G$139,B10,'Все позиции'!$R$2:$R$139,"Запчасть")</x:f>
        <x:v>219.81</x:v>
      </x:c>
    </x:row>
    <x:row r="11">
      <x:c r="A11" t="str">
        <x:v>40-77408-00 Uszczelka korka wlewu oleju</x:v>
      </x:c>
      <x:c r="B11" t="str">
        <x:v>REINZ</x:v>
      </x:c>
      <x:c r="C11" s="3" t="n">
        <x:f>SUMIFS('Все позиции'!$H$2:$H$139,'Все позиции'!$F$2:$F$139,A11,'Все позиции'!$G$2:$G$139,B11,'Все позиции'!$R$2:$R$139,"Запчасть")</x:f>
        <x:v>1</x:v>
      </x:c>
      <x:c r="D11" s="4" t="n">
        <x:f>SUMIFS('Все позиции'!$K$2:$K$139,'Все позиции'!$F$2:$F$139,A11,'Все позиции'!$G$2:$G$139,B11,'Все позиции'!$R$2:$R$139,"Запчасть")</x:f>
        <x:v>1.98</x:v>
      </x:c>
      <x:c r="E11" s="4" t="n">
        <x:f>SUMIFS('Все позиции'!$M$2:$M$139,'Все позиции'!$F$2:$F$139,A11,'Все позиции'!$G$2:$G$139,B11,'Все позиции'!$R$2:$R$139,"Запчасть")</x:f>
        <x:v>0.45</x:v>
      </x:c>
      <x:c r="F11" s="4" t="n">
        <x:f>SUMIFS('Все позиции'!$N$2:$N$139,'Все позиции'!$F$2:$F$139,A11,'Все позиции'!$G$2:$G$139,B11,'Все позиции'!$R$2:$R$139,"Запчасть")</x:f>
        <x:v>2.43</x:v>
      </x:c>
    </x:row>
    <x:row r="12">
      <x:c r="A12" t="str">
        <x:v>51868148 Ramię wycieraczki/osłona</x:v>
      </x:c>
      <x:c r="B12" t="str">
        <x:v>OE FIAT</x:v>
      </x:c>
      <x:c r="C12" s="3" t="n">
        <x:f>SUMIFS('Все позиции'!$H$2:$H$139,'Все позиции'!$F$2:$F$139,A12,'Все позиции'!$G$2:$G$139,B12,'Все позиции'!$R$2:$R$139,"Запчасть")</x:f>
        <x:v>1</x:v>
      </x:c>
      <x:c r="D12" s="4" t="n">
        <x:f>SUMIFS('Все позиции'!$K$2:$K$139,'Все позиции'!$F$2:$F$139,A12,'Все позиции'!$G$2:$G$139,B12,'Все позиции'!$R$2:$R$139,"Запчасть")</x:f>
        <x:v>135.46</x:v>
      </x:c>
      <x:c r="E12" s="4" t="n">
        <x:f>SUMIFS('Все позиции'!$M$2:$M$139,'Все позиции'!$F$2:$F$139,A12,'Все позиции'!$G$2:$G$139,B12,'Все позиции'!$R$2:$R$139,"Запчасть")</x:f>
        <x:v>31.16</x:v>
      </x:c>
      <x:c r="F12" s="4" t="n">
        <x:f>SUMIFS('Все позиции'!$N$2:$N$139,'Все позиции'!$F$2:$F$139,A12,'Все позиции'!$G$2:$G$139,B12,'Все позиции'!$R$2:$R$139,"Запчасть")</x:f>
        <x:v>166.62</x:v>
      </x:c>
    </x:row>
    <x:row r="13">
      <x:c r="A13" t="str">
        <x:v>55578365 Przewody i elementy odprowadzania paliwa</x:v>
      </x:c>
      <x:c r="B13" t="str">
        <x:v>OE OPEL</x:v>
      </x:c>
      <x:c r="C13" s="3" t="n">
        <x:f>SUMIFS('Все позиции'!$H$2:$H$139,'Все позиции'!$F$2:$F$139,A13,'Все позиции'!$G$2:$G$139,B13,'Все позиции'!$R$2:$R$139,"Запчасть")</x:f>
        <x:v>1</x:v>
      </x:c>
      <x:c r="D13" s="4" t="n">
        <x:f>SUMIFS('Все позиции'!$K$2:$K$139,'Все позиции'!$F$2:$F$139,A13,'Все позиции'!$G$2:$G$139,B13,'Все позиции'!$R$2:$R$139,"Запчасть")</x:f>
        <x:v>103.93</x:v>
      </x:c>
      <x:c r="E13" s="4" t="n">
        <x:f>SUMIFS('Все позиции'!$M$2:$M$139,'Все позиции'!$F$2:$F$139,A13,'Все позиции'!$G$2:$G$139,B13,'Все позиции'!$R$2:$R$139,"Запчасть")</x:f>
        <x:v>23.9</x:v>
      </x:c>
      <x:c r="F13" s="4" t="n">
        <x:f>SUMIFS('Все позиции'!$N$2:$N$139,'Все позиции'!$F$2:$F$139,A13,'Все позиции'!$G$2:$G$139,B13,'Все позиции'!$R$2:$R$139,"Запчасть")</x:f>
        <x:v>127.83000000000001</x:v>
      </x:c>
    </x:row>
    <x:row r="14">
      <x:c r="A14" t="str">
        <x:v>71-36972-00 Uszczelka pokrywy zaworów</x:v>
      </x:c>
      <x:c r="B14" t="str">
        <x:v>REINZ</x:v>
      </x:c>
      <x:c r="C14" s="3" t="n">
        <x:f>SUMIFS('Все позиции'!$H$2:$H$139,'Все позиции'!$F$2:$F$139,A14,'Все позиции'!$G$2:$G$139,B14,'Все позиции'!$R$2:$R$139,"Запчасть")</x:f>
        <x:v>0</x:v>
      </x:c>
      <x:c r="D14" s="4" t="n">
        <x:f>SUMIFS('Все позиции'!$K$2:$K$139,'Все позиции'!$F$2:$F$139,A14,'Все позиции'!$G$2:$G$139,B14,'Все позиции'!$R$2:$R$139,"Запчасть")</x:f>
        <x:v>0</x:v>
      </x:c>
      <x:c r="E14" s="4" t="n">
        <x:f>SUMIFS('Все позиции'!$M$2:$M$139,'Все позиции'!$F$2:$F$139,A14,'Все позиции'!$G$2:$G$139,B14,'Все позиции'!$R$2:$R$139,"Запчасть")</x:f>
        <x:v>-0.009999999999999787</x:v>
      </x:c>
      <x:c r="F14" s="4" t="n">
        <x:f>SUMIFS('Все позиции'!$N$2:$N$139,'Все позиции'!$F$2:$F$139,A14,'Все позиции'!$G$2:$G$139,B14,'Все позиции'!$R$2:$R$139,"Запчасть")</x:f>
        <x:v>-0.00999999999999801</x:v>
      </x:c>
    </x:row>
    <x:row r="15">
      <x:c r="A15" t="str">
        <x:v>A2C59513360Z Czujnik położenia wału korbowego</x:v>
      </x:c>
      <x:c r="B15" t="str">
        <x:v>VDO</x:v>
      </x:c>
      <x:c r="C15" s="3" t="n">
        <x:f>SUMIFS('Все позиции'!$H$2:$H$139,'Все позиции'!$F$2:$F$139,A15,'Все позиции'!$G$2:$G$139,B15,'Все позиции'!$R$2:$R$139,"Запчасть")</x:f>
        <x:v>0</x:v>
      </x:c>
      <x:c r="D15" s="4" t="n">
        <x:f>SUMIFS('Все позиции'!$K$2:$K$139,'Все позиции'!$F$2:$F$139,A15,'Все позиции'!$G$2:$G$139,B15,'Все позиции'!$R$2:$R$139,"Запчасть")</x:f>
        <x:v>0</x:v>
      </x:c>
      <x:c r="E15" s="4" t="n">
        <x:f>SUMIFS('Все позиции'!$M$2:$M$139,'Все позиции'!$F$2:$F$139,A15,'Все позиции'!$G$2:$G$139,B15,'Все позиции'!$R$2:$R$139,"Запчасть")</x:f>
        <x:v>0</x:v>
      </x:c>
      <x:c r="F15" s="4" t="n">
        <x:f>SUMIFS('Все позиции'!$N$2:$N$139,'Все позиции'!$F$2:$F$139,A15,'Все позиции'!$G$2:$G$139,B15,'Все позиции'!$R$2:$R$139,"Запчасть")</x:f>
        <x:v>0</x:v>
      </x:c>
    </x:row>
    <x:row r="16">
      <x:c r="A16" t="str">
        <x:v>AD41.0236.1 Linka hamulca ręcznego</x:v>
      </x:c>
      <x:c r="B16" t="str">
        <x:v>ADRIAUTO</x:v>
      </x:c>
      <x:c r="C16" s="3" t="n">
        <x:f>SUMIFS('Все позиции'!$H$2:$H$139,'Все позиции'!$F$2:$F$139,A16,'Все позиции'!$G$2:$G$139,B16,'Все позиции'!$R$2:$R$139,"Запчасть")</x:f>
        <x:v>2</x:v>
      </x:c>
      <x:c r="D16" s="4" t="n">
        <x:f>SUMIFS('Все позиции'!$K$2:$K$139,'Все позиции'!$F$2:$F$139,A16,'Все позиции'!$G$2:$G$139,B16,'Все позиции'!$R$2:$R$139,"Запчасть")</x:f>
        <x:v>50.8</x:v>
      </x:c>
      <x:c r="E16" s="4" t="n">
        <x:f>SUMIFS('Все позиции'!$M$2:$M$139,'Все позиции'!$F$2:$F$139,A16,'Все позиции'!$G$2:$G$139,B16,'Все позиции'!$R$2:$R$139,"Запчасть")</x:f>
        <x:v>11.68</x:v>
      </x:c>
      <x:c r="F16" s="4" t="n">
        <x:f>SUMIFS('Все позиции'!$N$2:$N$139,'Все позиции'!$F$2:$F$139,A16,'Все позиции'!$G$2:$G$139,B16,'Все позиции'!$R$2:$R$139,"Запчасть")</x:f>
        <x:v>62.48</x:v>
      </x:c>
    </x:row>
    <x:row r="17">
      <x:c r="A17" t="str">
        <x:v>ADBP220027 Filtr powietrza</x:v>
      </x:c>
      <x:c r="B17" t="str">
        <x:v>BLUE PRINT</x:v>
      </x:c>
      <x:c r="C17" s="3" t="n">
        <x:f>SUMIFS('Все позиции'!$H$2:$H$139,'Все позиции'!$F$2:$F$139,A17,'Все позиции'!$G$2:$G$139,B17,'Все позиции'!$R$2:$R$139,"Запчасть")</x:f>
        <x:v>1</x:v>
      </x:c>
      <x:c r="D17" s="4" t="n">
        <x:f>SUMIFS('Все позиции'!$K$2:$K$139,'Все позиции'!$F$2:$F$139,A17,'Все позиции'!$G$2:$G$139,B17,'Все позиции'!$R$2:$R$139,"Запчасть")</x:f>
        <x:v>24.44</x:v>
      </x:c>
      <x:c r="E17" s="4" t="n">
        <x:f>SUMIFS('Все позиции'!$M$2:$M$139,'Все позиции'!$F$2:$F$139,A17,'Все позиции'!$G$2:$G$139,B17,'Все позиции'!$R$2:$R$139,"Запчасть")</x:f>
        <x:v>5.62</x:v>
      </x:c>
      <x:c r="F17" s="4" t="n">
        <x:f>SUMIFS('Все позиции'!$N$2:$N$139,'Все позиции'!$F$2:$F$139,A17,'Все позиции'!$G$2:$G$139,B17,'Все позиции'!$R$2:$R$139,"Запчасть")</x:f>
        <x:v>30.060000000000002</x:v>
      </x:c>
    </x:row>
    <x:row r="18">
      <x:c r="A18" t="str">
        <x:v>ADD62109 Filtr oleju</x:v>
      </x:c>
      <x:c r="B18" t="str">
        <x:v>BLUE PRINT</x:v>
      </x:c>
      <x:c r="C18" s="3" t="n">
        <x:f>SUMIFS('Все позиции'!$H$2:$H$139,'Все позиции'!$F$2:$F$139,A18,'Все позиции'!$G$2:$G$139,B18,'Все позиции'!$R$2:$R$139,"Запчасть")</x:f>
        <x:v>1</x:v>
      </x:c>
      <x:c r="D18" s="4" t="n">
        <x:f>SUMIFS('Все позиции'!$K$2:$K$139,'Все позиции'!$F$2:$F$139,A18,'Все позиции'!$G$2:$G$139,B18,'Все позиции'!$R$2:$R$139,"Запчасть")</x:f>
        <x:v>11.26</x:v>
      </x:c>
      <x:c r="E18" s="4" t="n">
        <x:f>SUMIFS('Все позиции'!$M$2:$M$139,'Все позиции'!$F$2:$F$139,A18,'Все позиции'!$G$2:$G$139,B18,'Все позиции'!$R$2:$R$139,"Запчасть")</x:f>
        <x:v>2.59</x:v>
      </x:c>
      <x:c r="F18" s="4" t="n">
        <x:f>SUMIFS('Все позиции'!$N$2:$N$139,'Все позиции'!$F$2:$F$139,A18,'Все позиции'!$G$2:$G$139,B18,'Все позиции'!$R$2:$R$139,"Запчасть")</x:f>
        <x:v>13.85</x:v>
      </x:c>
    </x:row>
    <x:row r="19">
      <x:c r="A19" t="str">
        <x:v>ADT32514 Filtr kabiny</x:v>
      </x:c>
      <x:c r="B19" t="str">
        <x:v>BLUE PRINT</x:v>
      </x:c>
      <x:c r="C19" s="3" t="n">
        <x:f>SUMIFS('Все позиции'!$H$2:$H$139,'Все позиции'!$F$2:$F$139,A19,'Все позиции'!$G$2:$G$139,B19,'Все позиции'!$R$2:$R$139,"Запчасть")</x:f>
        <x:v>1</x:v>
      </x:c>
      <x:c r="D19" s="4" t="n">
        <x:f>SUMIFS('Все позиции'!$K$2:$K$139,'Все позиции'!$F$2:$F$139,A19,'Все позиции'!$G$2:$G$139,B19,'Все позиции'!$R$2:$R$139,"Запчасть")</x:f>
        <x:v>12.59</x:v>
      </x:c>
      <x:c r="E19" s="4" t="n">
        <x:f>SUMIFS('Все позиции'!$M$2:$M$139,'Все позиции'!$F$2:$F$139,A19,'Все позиции'!$G$2:$G$139,B19,'Все позиции'!$R$2:$R$139,"Запчасть")</x:f>
        <x:v>2.9</x:v>
      </x:c>
      <x:c r="F19" s="4" t="n">
        <x:f>SUMIFS('Все позиции'!$N$2:$N$139,'Все позиции'!$F$2:$F$139,A19,'Все позиции'!$G$2:$G$139,B19,'Все позиции'!$R$2:$R$139,"Запчасть")</x:f>
        <x:v>15.49</x:v>
      </x:c>
    </x:row>
    <x:row r="20">
      <x:c r="A20" t="str">
        <x:v>AISHVDT-9001 Tarcza sprzęgła pasuje do: LEXUS CT;</x:v>
      </x:c>
      <x:c r="B20" t="str">
        <x:v>AISIN</x:v>
      </x:c>
      <x:c r="C20" s="3" t="n">
        <x:f>SUMIFS('Все позиции'!$H$2:$H$139,'Все позиции'!$F$2:$F$139,A20,'Все позиции'!$G$2:$G$139,B20,'Все позиции'!$R$2:$R$139,"Запчасть")</x:f>
        <x:v>1</x:v>
      </x:c>
      <x:c r="D20" s="4" t="n">
        <x:f>SUMIFS('Все позиции'!$K$2:$K$139,'Все позиции'!$F$2:$F$139,A20,'Все позиции'!$G$2:$G$139,B20,'Все позиции'!$R$2:$R$139,"Запчасть")</x:f>
        <x:v>702.19</x:v>
      </x:c>
      <x:c r="E20" s="4" t="n">
        <x:f>SUMIFS('Все позиции'!$M$2:$M$139,'Все позиции'!$F$2:$F$139,A20,'Все позиции'!$G$2:$G$139,B20,'Все позиции'!$R$2:$R$139,"Запчасть")</x:f>
        <x:v>161.5</x:v>
      </x:c>
      <x:c r="F20" s="4" t="n">
        <x:f>SUMIFS('Все позиции'!$N$2:$N$139,'Все позиции'!$F$2:$F$139,A20,'Все позиции'!$G$2:$G$139,B20,'Все позиции'!$R$2:$R$139,"Запчасть")</x:f>
        <x:v>863.69</x:v>
      </x:c>
    </x:row>
    <x:row r="21">
      <x:c r="A21" t="str">
        <x:v>AK 218/1 Filtr powietrza</x:v>
      </x:c>
      <x:c r="B21" t="str">
        <x:v>FILTRON</x:v>
      </x:c>
      <x:c r="C21" s="3" t="n">
        <x:f>SUMIFS('Все позиции'!$H$2:$H$139,'Все позиции'!$F$2:$F$139,A21,'Все позиции'!$G$2:$G$139,B21,'Все позиции'!$R$2:$R$139,"Запчасть")</x:f>
        <x:v>1</x:v>
      </x:c>
      <x:c r="D21" s="4" t="n">
        <x:f>SUMIFS('Все позиции'!$K$2:$K$139,'Все позиции'!$F$2:$F$139,A21,'Все позиции'!$G$2:$G$139,B21,'Все позиции'!$R$2:$R$139,"Запчасть")</x:f>
        <x:v>40.99</x:v>
      </x:c>
      <x:c r="E21" s="4" t="n">
        <x:f>SUMIFS('Все позиции'!$M$2:$M$139,'Все позиции'!$F$2:$F$139,A21,'Все позиции'!$G$2:$G$139,B21,'Все позиции'!$R$2:$R$139,"Запчасть")</x:f>
        <x:v>9.43</x:v>
      </x:c>
      <x:c r="F21" s="4" t="n">
        <x:f>SUMIFS('Все позиции'!$N$2:$N$139,'Все позиции'!$F$2:$F$139,A21,'Все позиции'!$G$2:$G$139,B21,'Все позиции'!$R$2:$R$139,"Запчасть")</x:f>
        <x:v>50.42</x:v>
      </x:c>
    </x:row>
    <x:row r="22">
      <x:c r="A22" t="str">
        <x:v>AP 122/9 Filtr powietrza</x:v>
      </x:c>
      <x:c r="B22" t="str">
        <x:v>FILTRON</x:v>
      </x:c>
      <x:c r="C22" s="3" t="n">
        <x:f>SUMIFS('Все позиции'!$H$2:$H$139,'Все позиции'!$F$2:$F$139,A22,'Все позиции'!$G$2:$G$139,B22,'Все позиции'!$R$2:$R$139,"Запчасть")</x:f>
        <x:v>1</x:v>
      </x:c>
      <x:c r="D22" s="4" t="n">
        <x:f>SUMIFS('Все позиции'!$K$2:$K$139,'Все позиции'!$F$2:$F$139,A22,'Все позиции'!$G$2:$G$139,B22,'Все позиции'!$R$2:$R$139,"Запчасть")</x:f>
        <x:v>26.98</x:v>
      </x:c>
      <x:c r="E22" s="4" t="n">
        <x:f>SUMIFS('Все позиции'!$M$2:$M$139,'Все позиции'!$F$2:$F$139,A22,'Все позиции'!$G$2:$G$139,B22,'Все позиции'!$R$2:$R$139,"Запчасть")</x:f>
        <x:v>6.21</x:v>
      </x:c>
      <x:c r="F22" s="4" t="n">
        <x:f>SUMIFS('Все позиции'!$N$2:$N$139,'Все позиции'!$F$2:$F$139,A22,'Все позиции'!$G$2:$G$139,B22,'Все позиции'!$R$2:$R$139,"Запчасть")</x:f>
        <x:v>33.19</x:v>
      </x:c>
    </x:row>
    <x:row r="23">
      <x:c r="A23" t="str">
        <x:v>AP 139/5 Filtr powietrza</x:v>
      </x:c>
      <x:c r="B23" t="str">
        <x:v>FILTRON</x:v>
      </x:c>
      <x:c r="C23" s="3" t="n">
        <x:f>SUMIFS('Все позиции'!$H$2:$H$139,'Все позиции'!$F$2:$F$139,A23,'Все позиции'!$G$2:$G$139,B23,'Все позиции'!$R$2:$R$139,"Запчасть")</x:f>
        <x:v>1</x:v>
      </x:c>
      <x:c r="D23" s="4" t="n">
        <x:f>SUMIFS('Все позиции'!$K$2:$K$139,'Все позиции'!$F$2:$F$139,A23,'Все позиции'!$G$2:$G$139,B23,'Все позиции'!$R$2:$R$139,"Запчасть")</x:f>
        <x:v>27.84</x:v>
      </x:c>
      <x:c r="E23" s="4" t="n">
        <x:f>SUMIFS('Все позиции'!$M$2:$M$139,'Все позиции'!$F$2:$F$139,A23,'Все позиции'!$G$2:$G$139,B23,'Все позиции'!$R$2:$R$139,"Запчасть")</x:f>
        <x:v>6.4</x:v>
      </x:c>
      <x:c r="F23" s="4" t="n">
        <x:f>SUMIFS('Все позиции'!$N$2:$N$139,'Все позиции'!$F$2:$F$139,A23,'Все позиции'!$G$2:$G$139,B23,'Все позиции'!$R$2:$R$139,"Запчасть")</x:f>
        <x:v>34.24</x:v>
      </x:c>
    </x:row>
    <x:row r="24">
      <x:c r="A24" t="str">
        <x:v>AP 142/2 Filtr powietrza</x:v>
      </x:c>
      <x:c r="B24" t="str">
        <x:v>FILTRON</x:v>
      </x:c>
      <x:c r="C24" s="3" t="n">
        <x:f>SUMIFS('Все позиции'!$H$2:$H$139,'Все позиции'!$F$2:$F$139,A24,'Все позиции'!$G$2:$G$139,B24,'Все позиции'!$R$2:$R$139,"Запчасть")</x:f>
        <x:v>1</x:v>
      </x:c>
      <x:c r="D24" s="4" t="n">
        <x:f>SUMIFS('Все позиции'!$K$2:$K$139,'Все позиции'!$F$2:$F$139,A24,'Все позиции'!$G$2:$G$139,B24,'Все позиции'!$R$2:$R$139,"Запчасть")</x:f>
        <x:v>18.8</x:v>
      </x:c>
      <x:c r="E24" s="4" t="n">
        <x:f>SUMIFS('Все позиции'!$M$2:$M$139,'Все позиции'!$F$2:$F$139,A24,'Все позиции'!$G$2:$G$139,B24,'Все позиции'!$R$2:$R$139,"Запчасть")</x:f>
        <x:v>4.32</x:v>
      </x:c>
      <x:c r="F24" s="4" t="n">
        <x:f>SUMIFS('Все позиции'!$N$2:$N$139,'Все позиции'!$F$2:$F$139,A24,'Все позиции'!$G$2:$G$139,B24,'Все позиции'!$R$2:$R$139,"Запчасть")</x:f>
        <x:v>23.12</x:v>
      </x:c>
    </x:row>
    <x:row r="25">
      <x:c r="A25" t="str">
        <x:v>AP 149/3 Filtr powietrza</x:v>
      </x:c>
      <x:c r="B25" t="str">
        <x:v>FILTRON</x:v>
      </x:c>
      <x:c r="C25" s="3" t="n">
        <x:f>SUMIFS('Все позиции'!$H$2:$H$139,'Все позиции'!$F$2:$F$139,A25,'Все позиции'!$G$2:$G$139,B25,'Все позиции'!$R$2:$R$139,"Запчасть")</x:f>
        <x:v>1</x:v>
      </x:c>
      <x:c r="D25" s="4" t="n">
        <x:f>SUMIFS('Все позиции'!$K$2:$K$139,'Все позиции'!$F$2:$F$139,A25,'Все позиции'!$G$2:$G$139,B25,'Все позиции'!$R$2:$R$139,"Запчасть")</x:f>
        <x:v>22.78</x:v>
      </x:c>
      <x:c r="E25" s="4" t="n">
        <x:f>SUMIFS('Все позиции'!$M$2:$M$139,'Все позиции'!$F$2:$F$139,A25,'Все позиции'!$G$2:$G$139,B25,'Все позиции'!$R$2:$R$139,"Запчасть")</x:f>
        <x:v>5.24</x:v>
      </x:c>
      <x:c r="F25" s="4" t="n">
        <x:f>SUMIFS('Все позиции'!$N$2:$N$139,'Все позиции'!$F$2:$F$139,A25,'Все позиции'!$G$2:$G$139,B25,'Все позиции'!$R$2:$R$139,"Запчасть")</x:f>
        <x:v>28.020000000000003</x:v>
      </x:c>
    </x:row>
    <x:row r="26">
      <x:c r="A26" t="str">
        <x:v>AP 186 Filtr powietrza</x:v>
      </x:c>
      <x:c r="B26" t="str">
        <x:v>FILTRON</x:v>
      </x:c>
      <x:c r="C26" s="3" t="n">
        <x:f>SUMIFS('Все позиции'!$H$2:$H$139,'Все позиции'!$F$2:$F$139,A26,'Все позиции'!$G$2:$G$139,B26,'Все позиции'!$R$2:$R$139,"Запчасть")</x:f>
        <x:v>1</x:v>
      </x:c>
      <x:c r="D26" s="4" t="n">
        <x:f>SUMIFS('Все позиции'!$K$2:$K$139,'Все позиции'!$F$2:$F$139,A26,'Все позиции'!$G$2:$G$139,B26,'Все позиции'!$R$2:$R$139,"Запчасть")</x:f>
        <x:v>28.74</x:v>
      </x:c>
      <x:c r="E26" s="4" t="n">
        <x:f>SUMIFS('Все позиции'!$M$2:$M$139,'Все позиции'!$F$2:$F$139,A26,'Все позиции'!$G$2:$G$139,B26,'Все позиции'!$R$2:$R$139,"Запчасть")</x:f>
        <x:v>6.61</x:v>
      </x:c>
      <x:c r="F26" s="4" t="n">
        <x:f>SUMIFS('Все позиции'!$N$2:$N$139,'Все позиции'!$F$2:$F$139,A26,'Все позиции'!$G$2:$G$139,B26,'Все позиции'!$R$2:$R$139,"Запчасть")</x:f>
        <x:v>35.35</x:v>
      </x:c>
    </x:row>
    <x:row r="27">
      <x:c r="A27" t="str">
        <x:v>B4W018PR Filtr kabiny</x:v>
      </x:c>
      <x:c r="B27" t="str">
        <x:v>JC PREMIUM</x:v>
      </x:c>
      <x:c r="C27" s="3" t="n">
        <x:f>SUMIFS('Все позиции'!$H$2:$H$139,'Все позиции'!$F$2:$F$139,A27,'Все позиции'!$G$2:$G$139,B27,'Все позиции'!$R$2:$R$139,"Запчасть")</x:f>
        <x:v>1</x:v>
      </x:c>
      <x:c r="D27" s="4" t="n">
        <x:f>SUMIFS('Все позиции'!$K$2:$K$139,'Все позиции'!$F$2:$F$139,A27,'Все позиции'!$G$2:$G$139,B27,'Все позиции'!$R$2:$R$139,"Запчасть")</x:f>
        <x:v>12.38</x:v>
      </x:c>
      <x:c r="E27" s="4" t="n">
        <x:f>SUMIFS('Все позиции'!$M$2:$M$139,'Все позиции'!$F$2:$F$139,A27,'Все позиции'!$G$2:$G$139,B27,'Все позиции'!$R$2:$R$139,"Запчасть")</x:f>
        <x:v>2.85</x:v>
      </x:c>
      <x:c r="F27" s="4" t="n">
        <x:f>SUMIFS('Все позиции'!$N$2:$N$139,'Все позиции'!$F$2:$F$139,A27,'Все позиции'!$G$2:$G$139,B27,'Все позиции'!$R$2:$R$139,"Запчасть")</x:f>
        <x:v>15.23</x:v>
      </x:c>
    </x:row>
    <x:row r="28">
      <x:c r="A28" t="str">
        <x:v>BG3942 Tarcza hamulcowa</x:v>
      </x:c>
      <x:c r="B28" t="str">
        <x:v>DELPHI</x:v>
      </x:c>
      <x:c r="C28" s="3" t="n">
        <x:f>SUMIFS('Все позиции'!$H$2:$H$139,'Все позиции'!$F$2:$F$139,A28,'Все позиции'!$G$2:$G$139,B28,'Все позиции'!$R$2:$R$139,"Запчасть")</x:f>
        <x:v>1</x:v>
      </x:c>
      <x:c r="D28" s="4" t="n">
        <x:f>SUMIFS('Все позиции'!$K$2:$K$139,'Все позиции'!$F$2:$F$139,A28,'Все позиции'!$G$2:$G$139,B28,'Все позиции'!$R$2:$R$139,"Запчасть")</x:f>
        <x:v>316.42</x:v>
      </x:c>
      <x:c r="E28" s="4" t="n">
        <x:f>SUMIFS('Все позиции'!$M$2:$M$139,'Все позиции'!$F$2:$F$139,A28,'Все позиции'!$G$2:$G$139,B28,'Все позиции'!$R$2:$R$139,"Запчасть")</x:f>
        <x:v>72.78</x:v>
      </x:c>
      <x:c r="F28" s="4" t="n">
        <x:f>SUMIFS('Все позиции'!$N$2:$N$139,'Все позиции'!$F$2:$F$139,A28,'Все позиции'!$G$2:$G$139,B28,'Все позиции'!$R$2:$R$139,"Запчасть")</x:f>
        <x:v>389.20000000000005</x:v>
      </x:c>
    </x:row>
    <x:row r="29">
      <x:c r="A29" t="str">
        <x:v>BG3953C Tarcza hamulcowa</x:v>
      </x:c>
      <x:c r="B29" t="str">
        <x:v>DELPHI</x:v>
      </x:c>
      <x:c r="C29" s="3" t="n">
        <x:f>SUMIFS('Все позиции'!$H$2:$H$139,'Все позиции'!$F$2:$F$139,A29,'Все позиции'!$G$2:$G$139,B29,'Все позиции'!$R$2:$R$139,"Запчасть")</x:f>
        <x:v>1</x:v>
      </x:c>
      <x:c r="D29" s="4" t="n">
        <x:f>SUMIFS('Все позиции'!$K$2:$K$139,'Все позиции'!$F$2:$F$139,A29,'Все позиции'!$G$2:$G$139,B29,'Все позиции'!$R$2:$R$139,"Запчасть")</x:f>
        <x:v>277.21</x:v>
      </x:c>
      <x:c r="E29" s="4" t="n">
        <x:f>SUMIFS('Все позиции'!$M$2:$M$139,'Все позиции'!$F$2:$F$139,A29,'Все позиции'!$G$2:$G$139,B29,'Все позиции'!$R$2:$R$139,"Запчасть")</x:f>
        <x:v>63.76</x:v>
      </x:c>
      <x:c r="F29" s="4" t="n">
        <x:f>SUMIFS('Все позиции'!$N$2:$N$139,'Все позиции'!$F$2:$F$139,A29,'Все позиции'!$G$2:$G$139,B29,'Все позиции'!$R$2:$R$139,"Запчасть")</x:f>
        <x:v>340.96999999999997</x:v>
      </x:c>
    </x:row>
    <x:row r="30">
      <x:c r="A30" t="str">
        <x:v>BG3956C Tarcza hamulcowa</x:v>
      </x:c>
      <x:c r="B30" t="str">
        <x:v>DELPHI</x:v>
      </x:c>
      <x:c r="C30" s="3" t="n">
        <x:f>SUMIFS('Все позиции'!$H$2:$H$139,'Все позиции'!$F$2:$F$139,A30,'Все позиции'!$G$2:$G$139,B30,'Все позиции'!$R$2:$R$139,"Запчасть")</x:f>
        <x:v>1</x:v>
      </x:c>
      <x:c r="D30" s="4" t="n">
        <x:f>SUMIFS('Все позиции'!$K$2:$K$139,'Все позиции'!$F$2:$F$139,A30,'Все позиции'!$G$2:$G$139,B30,'Все позиции'!$R$2:$R$139,"Запчасть")</x:f>
        <x:v>228.79</x:v>
      </x:c>
      <x:c r="E30" s="4" t="n">
        <x:f>SUMIFS('Все позиции'!$M$2:$M$139,'Все позиции'!$F$2:$F$139,A30,'Все позиции'!$G$2:$G$139,B30,'Все позиции'!$R$2:$R$139,"Запчасть")</x:f>
        <x:v>52.62</x:v>
      </x:c>
      <x:c r="F30" s="4" t="n">
        <x:f>SUMIFS('Все позиции'!$N$2:$N$139,'Все позиции'!$F$2:$F$139,A30,'Все позиции'!$G$2:$G$139,B30,'Все позиции'!$R$2:$R$139,"Запчасть")</x:f>
        <x:v>281.40999999999997</x:v>
      </x:c>
    </x:row>
    <x:row r="31">
      <x:c r="A31" t="str">
        <x:v>BG4116C Tarcza hamulcowa</x:v>
      </x:c>
      <x:c r="B31" t="str">
        <x:v>DELPHI</x:v>
      </x:c>
      <x:c r="C31" s="3" t="n">
        <x:f>SUMIFS('Все позиции'!$H$2:$H$139,'Все позиции'!$F$2:$F$139,A31,'Все позиции'!$G$2:$G$139,B31,'Все позиции'!$R$2:$R$139,"Запчасть")</x:f>
        <x:v>1</x:v>
      </x:c>
      <x:c r="D31" s="4" t="n">
        <x:f>SUMIFS('Все позиции'!$K$2:$K$139,'Все позиции'!$F$2:$F$139,A31,'Все позиции'!$G$2:$G$139,B31,'Все позиции'!$R$2:$R$139,"Запчасть")</x:f>
        <x:v>195.75</x:v>
      </x:c>
      <x:c r="E31" s="4" t="n">
        <x:f>SUMIFS('Все позиции'!$M$2:$M$139,'Все позиции'!$F$2:$F$139,A31,'Все позиции'!$G$2:$G$139,B31,'Все позиции'!$R$2:$R$139,"Запчасть")</x:f>
        <x:v>45.02</x:v>
      </x:c>
      <x:c r="F31" s="4" t="n">
        <x:f>SUMIFS('Все позиции'!$N$2:$N$139,'Все позиции'!$F$2:$F$139,A31,'Все позиции'!$G$2:$G$139,B31,'Все позиции'!$R$2:$R$139,"Запчасть")</x:f>
        <x:v>240.77</x:v>
      </x:c>
    </x:row>
    <x:row r="32">
      <x:c r="A32" t="str">
        <x:v>BG5020C Tarcza hamulcowa</x:v>
      </x:c>
      <x:c r="B32" t="str">
        <x:v>DELPHI</x:v>
      </x:c>
      <x:c r="C32" s="3" t="n">
        <x:f>SUMIFS('Все позиции'!$H$2:$H$139,'Все позиции'!$F$2:$F$139,A32,'Все позиции'!$G$2:$G$139,B32,'Все позиции'!$R$2:$R$139,"Запчасть")</x:f>
        <x:v>1</x:v>
      </x:c>
      <x:c r="D32" s="4" t="n">
        <x:f>SUMIFS('Все позиции'!$K$2:$K$139,'Все позиции'!$F$2:$F$139,A32,'Все позиции'!$G$2:$G$139,B32,'Все позиции'!$R$2:$R$139,"Запчасть")</x:f>
        <x:v>134.8</x:v>
      </x:c>
      <x:c r="E32" s="4" t="n">
        <x:f>SUMIFS('Все позиции'!$M$2:$M$139,'Все позиции'!$F$2:$F$139,A32,'Все позиции'!$G$2:$G$139,B32,'Все позиции'!$R$2:$R$139,"Запчасть")</x:f>
        <x:v>31</x:v>
      </x:c>
      <x:c r="F32" s="4" t="n">
        <x:f>SUMIFS('Все позиции'!$N$2:$N$139,'Все позиции'!$F$2:$F$139,A32,'Все позиции'!$G$2:$G$139,B32,'Все позиции'!$R$2:$R$139,"Запчасть")</x:f>
        <x:v>165.8</x:v>
      </x:c>
    </x:row>
    <x:row r="33">
      <x:c r="A33" t="str">
        <x:v>BG9026RS Tarcza hamulcowa z łożyskiem</x:v>
      </x:c>
      <x:c r="B33" t="str">
        <x:v>DELPHI</x:v>
      </x:c>
      <x:c r="C33" s="3" t="n">
        <x:f>SUMIFS('Все позиции'!$H$2:$H$139,'Все позиции'!$F$2:$F$139,A33,'Все позиции'!$G$2:$G$139,B33,'Все позиции'!$R$2:$R$139,"Запчасть")</x:f>
        <x:v>2</x:v>
      </x:c>
      <x:c r="D33" s="4" t="n">
        <x:f>SUMIFS('Все позиции'!$K$2:$K$139,'Все позиции'!$F$2:$F$139,A33,'Все позиции'!$G$2:$G$139,B33,'Все позиции'!$R$2:$R$139,"Запчасть")</x:f>
        <x:v>428.88</x:v>
      </x:c>
      <x:c r="E33" s="4" t="n">
        <x:f>SUMIFS('Все позиции'!$M$2:$M$139,'Все позиции'!$F$2:$F$139,A33,'Все позиции'!$G$2:$G$139,B33,'Все позиции'!$R$2:$R$139,"Запчасть")</x:f>
        <x:v>98.65</x:v>
      </x:c>
      <x:c r="F33" s="4" t="n">
        <x:f>SUMIFS('Все позиции'!$N$2:$N$139,'Все позиции'!$F$2:$F$139,A33,'Все позиции'!$G$2:$G$139,B33,'Все позиции'!$R$2:$R$139,"Запчасть")</x:f>
        <x:v>527.53</x:v>
      </x:c>
    </x:row>
    <x:row r="34">
      <x:c r="A34" t="str">
        <x:v>C1M028ABE-P Klocek hamulcowy kpl.</x:v>
      </x:c>
      <x:c r="B34" t="str">
        <x:v>ABE</x:v>
      </x:c>
      <x:c r="C34" s="3" t="n">
        <x:f>SUMIFS('Все позиции'!$H$2:$H$139,'Все позиции'!$F$2:$F$139,A34,'Все позиции'!$G$2:$G$139,B34,'Все позиции'!$R$2:$R$139,"Запчасть")</x:f>
        <x:v>1</x:v>
      </x:c>
      <x:c r="D34" s="4" t="n">
        <x:f>SUMIFS('Все позиции'!$K$2:$K$139,'Все позиции'!$F$2:$F$139,A34,'Все позиции'!$G$2:$G$139,B34,'Все позиции'!$R$2:$R$139,"Запчасть")</x:f>
        <x:v>80.68</x:v>
      </x:c>
      <x:c r="E34" s="4" t="n">
        <x:f>SUMIFS('Все позиции'!$M$2:$M$139,'Все позиции'!$F$2:$F$139,A34,'Все позиции'!$G$2:$G$139,B34,'Все позиции'!$R$2:$R$139,"Запчасть")</x:f>
        <x:v>18.56</x:v>
      </x:c>
      <x:c r="F34" s="4" t="n">
        <x:f>SUMIFS('Все позиции'!$N$2:$N$139,'Все позиции'!$F$2:$F$139,A34,'Все позиции'!$G$2:$G$139,B34,'Все позиции'!$R$2:$R$139,"Запчасть")</x:f>
        <x:v>99.24000000000001</x:v>
      </x:c>
    </x:row>
    <x:row r="35">
      <x:c r="A35" t="str">
        <x:v>C2X012ABE-P Klocki hamulcowe kpl. tył , pasuje do: FORD</x:v>
      </x:c>
      <x:c r="B35" t="str">
        <x:v>ABE</x:v>
      </x:c>
      <x:c r="C35" s="3" t="n">
        <x:f>SUMIFS('Все позиции'!$H$2:$H$139,'Все позиции'!$F$2:$F$139,A35,'Все позиции'!$G$2:$G$139,B35,'Все позиции'!$R$2:$R$139,"Запчасть")</x:f>
        <x:v>1</x:v>
      </x:c>
      <x:c r="D35" s="4" t="n">
        <x:f>SUMIFS('Все позиции'!$K$2:$K$139,'Все позиции'!$F$2:$F$139,A35,'Все позиции'!$G$2:$G$139,B35,'Все позиции'!$R$2:$R$139,"Запчасть")</x:f>
        <x:v>47.67</x:v>
      </x:c>
      <x:c r="E35" s="4" t="n">
        <x:f>SUMIFS('Все позиции'!$M$2:$M$139,'Все позиции'!$F$2:$F$139,A35,'Все позиции'!$G$2:$G$139,B35,'Все позиции'!$R$2:$R$139,"Запчасть")</x:f>
        <x:v>10.96</x:v>
      </x:c>
      <x:c r="F35" s="4" t="n">
        <x:f>SUMIFS('Все позиции'!$N$2:$N$139,'Все позиции'!$F$2:$F$139,A35,'Все позиции'!$G$2:$G$139,B35,'Все позиции'!$R$2:$R$139,"Запчасть")</x:f>
        <x:v>58.63</x:v>
      </x:c>
    </x:row>
    <x:row r="36">
      <x:c r="A36" t="str">
        <x:v>C3R027ABE Tarcza hamulcowa</x:v>
      </x:c>
      <x:c r="B36" t="str">
        <x:v>ABE</x:v>
      </x:c>
      <x:c r="C36" s="3" t="n">
        <x:f>SUMIFS('Все позиции'!$H$2:$H$139,'Все позиции'!$F$2:$F$139,A36,'Все позиции'!$G$2:$G$139,B36,'Все позиции'!$R$2:$R$139,"Запчасть")</x:f>
        <x:v>2</x:v>
      </x:c>
      <x:c r="D36" s="4" t="n">
        <x:f>SUMIFS('Все позиции'!$K$2:$K$139,'Все позиции'!$F$2:$F$139,A36,'Все позиции'!$G$2:$G$139,B36,'Все позиции'!$R$2:$R$139,"Запчасть")</x:f>
        <x:v>151.74</x:v>
      </x:c>
      <x:c r="E36" s="4" t="n">
        <x:f>SUMIFS('Все позиции'!$M$2:$M$139,'Все позиции'!$F$2:$F$139,A36,'Все позиции'!$G$2:$G$139,B36,'Все позиции'!$R$2:$R$139,"Запчасть")</x:f>
        <x:v>34.9</x:v>
      </x:c>
      <x:c r="F36" s="4" t="n">
        <x:f>SUMIFS('Все позиции'!$N$2:$N$139,'Все позиции'!$F$2:$F$139,A36,'Все позиции'!$G$2:$G$139,B36,'Все позиции'!$R$2:$R$139,"Запчасть")</x:f>
        <x:v>186.64000000000001</x:v>
      </x:c>
    </x:row>
    <x:row r="37">
      <x:c r="A37" t="str">
        <x:v>CCH9412 Świeca zapłonowa</x:v>
      </x:c>
      <x:c r="B37" t="str">
        <x:v>CHAMPION</x:v>
      </x:c>
      <x:c r="C37" s="3" t="n">
        <x:f>SUMIFS('Все позиции'!$H$2:$H$139,'Все позиции'!$F$2:$F$139,A37,'Все позиции'!$G$2:$G$139,B37,'Все позиции'!$R$2:$R$139,"Запчасть")</x:f>
        <x:v>4</x:v>
      </x:c>
      <x:c r="D37" s="4" t="n">
        <x:f>SUMIFS('Все позиции'!$K$2:$K$139,'Все позиции'!$F$2:$F$139,A37,'Все позиции'!$G$2:$G$139,B37,'Все позиции'!$R$2:$R$139,"Запчасть")</x:f>
        <x:v>130.12</x:v>
      </x:c>
      <x:c r="E37" s="4" t="n">
        <x:f>SUMIFS('Все позиции'!$M$2:$M$139,'Все позиции'!$F$2:$F$139,A37,'Все позиции'!$G$2:$G$139,B37,'Все позиции'!$R$2:$R$139,"Запчасть")</x:f>
        <x:v>29.93</x:v>
      </x:c>
      <x:c r="F37" s="4" t="n">
        <x:f>SUMIFS('Все позиции'!$N$2:$N$139,'Все позиции'!$F$2:$F$139,A37,'Все позиции'!$G$2:$G$139,B37,'Все позиции'!$R$2:$R$139,"Запчасть")</x:f>
        <x:v>160.05</x:v>
      </x:c>
    </x:row>
    <x:row r="38">
      <x:c r="A38" t="str">
        <x:v>DDF1364C-1 Tarcza hamulcowa</x:v>
      </x:c>
      <x:c r="B38" t="str">
        <x:v>FERODO</x:v>
      </x:c>
      <x:c r="C38" s="3" t="n">
        <x:f>SUMIFS('Все позиции'!$H$2:$H$139,'Все позиции'!$F$2:$F$139,A38,'Все позиции'!$G$2:$G$139,B38,'Все позиции'!$R$2:$R$139,"Запчасть")</x:f>
        <x:v>2</x:v>
      </x:c>
      <x:c r="D38" s="4" t="n">
        <x:f>SUMIFS('Все позиции'!$K$2:$K$139,'Все позиции'!$F$2:$F$139,A38,'Все позиции'!$G$2:$G$139,B38,'Все позиции'!$R$2:$R$139,"Запчасть")</x:f>
        <x:v>279.6</x:v>
      </x:c>
      <x:c r="E38" s="4" t="n">
        <x:f>SUMIFS('Все позиции'!$M$2:$M$139,'Все позиции'!$F$2:$F$139,A38,'Все позиции'!$G$2:$G$139,B38,'Все позиции'!$R$2:$R$139,"Запчасть")</x:f>
        <x:v>64.31</x:v>
      </x:c>
      <x:c r="F38" s="4" t="n">
        <x:f>SUMIFS('Все позиции'!$N$2:$N$139,'Все позиции'!$F$2:$F$139,A38,'Все позиции'!$G$2:$G$139,B38,'Все позиции'!$R$2:$R$139,"Запчасть")</x:f>
        <x:v>343.91</x:v>
      </x:c>
    </x:row>
    <x:row r="39">
      <x:c r="A39" t="str">
        <x:v>E159H01 D311 Filtr oleju</x:v>
      </x:c>
      <x:c r="B39" t="str">
        <x:v>HENGST</x:v>
      </x:c>
      <x:c r="C39" s="3" t="n">
        <x:f>SUMIFS('Все позиции'!$H$2:$H$139,'Все позиции'!$F$2:$F$139,A39,'Все позиции'!$G$2:$G$139,B39,'Все позиции'!$R$2:$R$139,"Запчасть")</x:f>
        <x:v>1</x:v>
      </x:c>
      <x:c r="D39" s="4" t="n">
        <x:f>SUMIFS('Все позиции'!$K$2:$K$139,'Все позиции'!$F$2:$F$139,A39,'Все позиции'!$G$2:$G$139,B39,'Все позиции'!$R$2:$R$139,"Запчасть")</x:f>
        <x:v>32.71</x:v>
      </x:c>
      <x:c r="E39" s="4" t="n">
        <x:f>SUMIFS('Все позиции'!$M$2:$M$139,'Все позиции'!$F$2:$F$139,A39,'Все позиции'!$G$2:$G$139,B39,'Все позиции'!$R$2:$R$139,"Запчасть")</x:f>
        <x:v>7.52</x:v>
      </x:c>
      <x:c r="F39" s="4" t="n">
        <x:f>SUMIFS('Все позиции'!$N$2:$N$139,'Все позиции'!$F$2:$F$139,A39,'Все позиции'!$G$2:$G$139,B39,'Все позиции'!$R$2:$R$139,"Запчасть")</x:f>
        <x:v>40.230000000000004</x:v>
      </x:c>
    </x:row>
    <x:row r="40">
      <x:c r="A40" t="str">
        <x:v>E44H D110 Filtr oleju</x:v>
      </x:c>
      <x:c r="B40" t="str">
        <x:v>HENGST</x:v>
      </x:c>
      <x:c r="C40" s="3" t="n">
        <x:f>SUMIFS('Все позиции'!$H$2:$H$139,'Все позиции'!$F$2:$F$139,A40,'Все позиции'!$G$2:$G$139,B40,'Все позиции'!$R$2:$R$139,"Запчасть")</x:f>
        <x:v>1</x:v>
      </x:c>
      <x:c r="D40" s="4" t="n">
        <x:f>SUMIFS('Все позиции'!$K$2:$K$139,'Все позиции'!$F$2:$F$139,A40,'Все позиции'!$G$2:$G$139,B40,'Все позиции'!$R$2:$R$139,"Запчасть")</x:f>
        <x:v>16.96</x:v>
      </x:c>
      <x:c r="E40" s="4" t="n">
        <x:f>SUMIFS('Все позиции'!$M$2:$M$139,'Все позиции'!$F$2:$F$139,A40,'Все позиции'!$G$2:$G$139,B40,'Все позиции'!$R$2:$R$139,"Запчасть")</x:f>
        <x:v>3.9</x:v>
      </x:c>
      <x:c r="F40" s="4" t="n">
        <x:f>SUMIFS('Все позиции'!$N$2:$N$139,'Все позиции'!$F$2:$F$139,A40,'Все позиции'!$G$2:$G$139,B40,'Все позиции'!$R$2:$R$139,"Запчасть")</x:f>
        <x:v>20.86</x:v>
      </x:c>
    </x:row>
    <x:row r="41">
      <x:c r="A41" t="str">
        <x:v>E468L Filtr powietrza</x:v>
      </x:c>
      <x:c r="B41" t="str">
        <x:v>HENGST</x:v>
      </x:c>
      <x:c r="C41" s="3" t="n">
        <x:f>SUMIFS('Все позиции'!$H$2:$H$139,'Все позиции'!$F$2:$F$139,A41,'Все позиции'!$G$2:$G$139,B41,'Все позиции'!$R$2:$R$139,"Запчасть")</x:f>
        <x:v>1</x:v>
      </x:c>
      <x:c r="D41" s="4" t="n">
        <x:f>SUMIFS('Все позиции'!$K$2:$K$139,'Все позиции'!$F$2:$F$139,A41,'Все позиции'!$G$2:$G$139,B41,'Все позиции'!$R$2:$R$139,"Запчасть")</x:f>
        <x:v>49.13</x:v>
      </x:c>
      <x:c r="E41" s="4" t="n">
        <x:f>SUMIFS('Все позиции'!$M$2:$M$139,'Все позиции'!$F$2:$F$139,A41,'Все позиции'!$G$2:$G$139,B41,'Все позиции'!$R$2:$R$139,"Запчасть")</x:f>
        <x:v>11.3</x:v>
      </x:c>
      <x:c r="F41" s="4" t="n">
        <x:f>SUMIFS('Все позиции'!$N$2:$N$139,'Все позиции'!$F$2:$F$139,A41,'Все позиции'!$G$2:$G$139,B41,'Все позиции'!$R$2:$R$139,"Запчасть")</x:f>
        <x:v>60.43000000000001</x:v>
      </x:c>
    </x:row>
    <x:row r="42">
      <x:c r="A42" t="str">
        <x:v>E818H D238 Filtr oleju</x:v>
      </x:c>
      <x:c r="B42" t="str">
        <x:v>HENGST</x:v>
      </x:c>
      <x:c r="C42" s="3" t="n">
        <x:f>SUMIFS('Все позиции'!$H$2:$H$139,'Все позиции'!$F$2:$F$139,A42,'Все позиции'!$G$2:$G$139,B42,'Все позиции'!$R$2:$R$139,"Запчасть")</x:f>
        <x:v>1</x:v>
      </x:c>
      <x:c r="D42" s="4" t="n">
        <x:f>SUMIFS('Все позиции'!$K$2:$K$139,'Все позиции'!$F$2:$F$139,A42,'Все позиции'!$G$2:$G$139,B42,'Все позиции'!$R$2:$R$139,"Запчасть")</x:f>
        <x:v>26.02</x:v>
      </x:c>
      <x:c r="E42" s="4" t="n">
        <x:f>SUMIFS('Все позиции'!$M$2:$M$139,'Все позиции'!$F$2:$F$139,A42,'Все позиции'!$G$2:$G$139,B42,'Все позиции'!$R$2:$R$139,"Запчасть")</x:f>
        <x:v>5.98</x:v>
      </x:c>
      <x:c r="F42" s="4" t="n">
        <x:f>SUMIFS('Все позиции'!$N$2:$N$139,'Все позиции'!$F$2:$F$139,A42,'Все позиции'!$G$2:$G$139,B42,'Все позиции'!$R$2:$R$139,"Запчасть")</x:f>
        <x:v>32</x:v>
      </x:c>
    </x:row>
    <x:row r="43">
      <x:c r="A43" t="str">
        <x:v>EL107239 Uszczelka chłodnicy oleju</x:v>
      </x:c>
      <x:c r="B43" t="str">
        <x:v>ELRING</x:v>
      </x:c>
      <x:c r="C43" s="3" t="n">
        <x:f>SUMIFS('Все позиции'!$H$2:$H$139,'Все позиции'!$F$2:$F$139,A43,'Все позиции'!$G$2:$G$139,B43,'Все позиции'!$R$2:$R$139,"Запчасть")</x:f>
        <x:v>4</x:v>
      </x:c>
      <x:c r="D43" s="4" t="n">
        <x:f>SUMIFS('Все позиции'!$K$2:$K$139,'Все позиции'!$F$2:$F$139,A43,'Все позиции'!$G$2:$G$139,B43,'Все позиции'!$R$2:$R$139,"Запчасть")</x:f>
        <x:v>1.6</x:v>
      </x:c>
      <x:c r="E43" s="4" t="n">
        <x:f>SUMIFS('Все позиции'!$M$2:$M$139,'Все позиции'!$F$2:$F$139,A43,'Все позиции'!$G$2:$G$139,B43,'Все позиции'!$R$2:$R$139,"Запчасть")</x:f>
        <x:v>0.36</x:v>
      </x:c>
      <x:c r="F43" s="4" t="n">
        <x:f>SUMIFS('Все позиции'!$N$2:$N$139,'Все позиции'!$F$2:$F$139,A43,'Все позиции'!$G$2:$G$139,B43,'Все позиции'!$R$2:$R$139,"Запчасть")</x:f>
        <x:v>1.96</x:v>
      </x:c>
    </x:row>
    <x:row r="44">
      <x:c r="A44" t="str">
        <x:v>EL426780 Elementy wtryskiwacza CR</x:v>
      </x:c>
      <x:c r="B44" t="str">
        <x:v>ELRING</x:v>
      </x:c>
      <x:c r="C44" s="3" t="n">
        <x:f>SUMIFS('Все позиции'!$H$2:$H$139,'Все позиции'!$F$2:$F$139,A44,'Все позиции'!$G$2:$G$139,B44,'Все позиции'!$R$2:$R$139,"Запчасть")</x:f>
        <x:v>1</x:v>
      </x:c>
      <x:c r="D44" s="4" t="n">
        <x:f>SUMIFS('Все позиции'!$K$2:$K$139,'Все позиции'!$F$2:$F$139,A44,'Все позиции'!$G$2:$G$139,B44,'Все позиции'!$R$2:$R$139,"Запчасть")</x:f>
        <x:v>43.3</x:v>
      </x:c>
      <x:c r="E44" s="4" t="n">
        <x:f>SUMIFS('Все позиции'!$M$2:$M$139,'Все позиции'!$F$2:$F$139,A44,'Все позиции'!$G$2:$G$139,B44,'Все позиции'!$R$2:$R$139,"Запчасть")</x:f>
        <x:v>9.96</x:v>
      </x:c>
      <x:c r="F44" s="4" t="n">
        <x:f>SUMIFS('Все позиции'!$N$2:$N$139,'Все позиции'!$F$2:$F$139,A44,'Все позиции'!$G$2:$G$139,B44,'Все позиции'!$R$2:$R$139,"Запчасть")</x:f>
        <x:v>53.26</x:v>
      </x:c>
    </x:row>
    <x:row r="45">
      <x:c r="A45" t="str">
        <x:v>EL485190 Uszczelki pompy próżniowej</x:v>
      </x:c>
      <x:c r="B45" t="str">
        <x:v>ELRING</x:v>
      </x:c>
      <x:c r="C45" s="3" t="n">
        <x:f>SUMIFS('Все позиции'!$H$2:$H$139,'Все позиции'!$F$2:$F$139,A45,'Все позиции'!$G$2:$G$139,B45,'Все позиции'!$R$2:$R$139,"Запчасть")</x:f>
        <x:v>0</x:v>
      </x:c>
      <x:c r="D45" s="4" t="n">
        <x:f>SUMIFS('Все позиции'!$K$2:$K$139,'Все позиции'!$F$2:$F$139,A45,'Все позиции'!$G$2:$G$139,B45,'Все позиции'!$R$2:$R$139,"Запчасть")</x:f>
        <x:v>0</x:v>
      </x:c>
      <x:c r="E45" s="4" t="n">
        <x:f>SUMIFS('Все позиции'!$M$2:$M$139,'Все позиции'!$F$2:$F$139,A45,'Все позиции'!$G$2:$G$139,B45,'Все позиции'!$R$2:$R$139,"Запчасть")</x:f>
        <x:v>0</x:v>
      </x:c>
      <x:c r="F45" s="4" t="n">
        <x:f>SUMIFS('Все позиции'!$N$2:$N$139,'Все позиции'!$F$2:$F$139,A45,'Все позиции'!$G$2:$G$139,B45,'Все позиции'!$R$2:$R$139,"Запчасть")</x:f>
        <x:v>0</x:v>
      </x:c>
    </x:row>
    <x:row r="46">
      <x:c r="A46" t="str">
        <x:v>EL523500 Śruba spustu miski olejowej</x:v>
      </x:c>
      <x:c r="B46" t="str">
        <x:v>ELRING</x:v>
      </x:c>
      <x:c r="C46" s="3" t="n">
        <x:f>SUMIFS('Все позиции'!$H$2:$H$139,'Все позиции'!$F$2:$F$139,A46,'Все позиции'!$G$2:$G$139,B46,'Все позиции'!$R$2:$R$139,"Запчасть")</x:f>
        <x:v>1</x:v>
      </x:c>
      <x:c r="D46" s="4" t="n">
        <x:f>SUMIFS('Все позиции'!$K$2:$K$139,'Все позиции'!$F$2:$F$139,A46,'Все позиции'!$G$2:$G$139,B46,'Все позиции'!$R$2:$R$139,"Запчасть")</x:f>
        <x:v>8.62</x:v>
      </x:c>
      <x:c r="E46" s="4" t="n">
        <x:f>SUMIFS('Все позиции'!$M$2:$M$139,'Все позиции'!$F$2:$F$139,A46,'Все позиции'!$G$2:$G$139,B46,'Все позиции'!$R$2:$R$139,"Запчасть")</x:f>
        <x:v>1.98</x:v>
      </x:c>
      <x:c r="F46" s="4" t="n">
        <x:f>SUMIFS('Все позиции'!$N$2:$N$139,'Все позиции'!$F$2:$F$139,A46,'Все позиции'!$G$2:$G$139,B46,'Все позиции'!$R$2:$R$139,"Запчасть")</x:f>
        <x:v>10.6</x:v>
      </x:c>
    </x:row>
    <x:row r="47">
      <x:c r="A47" t="str">
        <x:v>EL716710 Uszczelka zaworu EGR</x:v>
      </x:c>
      <x:c r="B47" t="str">
        <x:v>ELRING</x:v>
      </x:c>
      <x:c r="C47" s="3" t="n">
        <x:f>SUMIFS('Все позиции'!$H$2:$H$139,'Все позиции'!$F$2:$F$139,A47,'Все позиции'!$G$2:$G$139,B47,'Все позиции'!$R$2:$R$139,"Запчасть")</x:f>
        <x:v>3</x:v>
      </x:c>
      <x:c r="D47" s="4" t="n">
        <x:f>SUMIFS('Все позиции'!$K$2:$K$139,'Все позиции'!$F$2:$F$139,A47,'Все позиции'!$G$2:$G$139,B47,'Все позиции'!$R$2:$R$139,"Запчасть")</x:f>
        <x:v>57</x:v>
      </x:c>
      <x:c r="E47" s="4" t="n">
        <x:f>SUMIFS('Все позиции'!$M$2:$M$139,'Все позиции'!$F$2:$F$139,A47,'Все позиции'!$G$2:$G$139,B47,'Все позиции'!$R$2:$R$139,"Запчасть")</x:f>
        <x:v>13.11</x:v>
      </x:c>
      <x:c r="F47" s="4" t="n">
        <x:f>SUMIFS('Все позиции'!$N$2:$N$139,'Все позиции'!$F$2:$F$139,A47,'Все позиции'!$G$2:$G$139,B47,'Все позиции'!$R$2:$R$139,"Запчасть")</x:f>
        <x:v>70.11</x:v>
      </x:c>
    </x:row>
    <x:row r="48">
      <x:c r="A48" t="str">
        <x:v>EL733460 Uszczelka pokrywy zaworów</x:v>
      </x:c>
      <x:c r="B48" t="str">
        <x:v>ELRING</x:v>
      </x:c>
      <x:c r="C48" s="3" t="n">
        <x:f>SUMIFS('Все позиции'!$H$2:$H$139,'Все позиции'!$F$2:$F$139,A48,'Все позиции'!$G$2:$G$139,B48,'Все позиции'!$R$2:$R$139,"Запчасть")</x:f>
        <x:v>1</x:v>
      </x:c>
      <x:c r="D48" s="4" t="n">
        <x:f>SUMIFS('Все позиции'!$K$2:$K$139,'Все позиции'!$F$2:$F$139,A48,'Все позиции'!$G$2:$G$139,B48,'Все позиции'!$R$2:$R$139,"Запчасть")</x:f>
        <x:v>44.17</x:v>
      </x:c>
      <x:c r="E48" s="4" t="n">
        <x:f>SUMIFS('Все позиции'!$M$2:$M$139,'Все позиции'!$F$2:$F$139,A48,'Все позиции'!$G$2:$G$139,B48,'Все позиции'!$R$2:$R$139,"Запчасть")</x:f>
        <x:v>10.16</x:v>
      </x:c>
      <x:c r="F48" s="4" t="n">
        <x:f>SUMIFS('Все позиции'!$N$2:$N$139,'Все позиции'!$F$2:$F$139,A48,'Все позиции'!$G$2:$G$139,B48,'Все позиции'!$R$2:$R$139,"Запчасть")</x:f>
        <x:v>54.33</x:v>
      </x:c>
    </x:row>
    <x:row r="49">
      <x:c r="A49" t="str">
        <x:v>EL886830 Uszczelki pompy próżniowej</x:v>
      </x:c>
      <x:c r="B49" t="str">
        <x:v>ELRING</x:v>
      </x:c>
      <x:c r="C49" s="3" t="n">
        <x:f>SUMIFS('Все позиции'!$H$2:$H$139,'Все позиции'!$F$2:$F$139,A49,'Все позиции'!$G$2:$G$139,B49,'Все позиции'!$R$2:$R$139,"Запчасть")</x:f>
        <x:v>1</x:v>
      </x:c>
      <x:c r="D49" s="4" t="n">
        <x:f>SUMIFS('Все позиции'!$K$2:$K$139,'Все позиции'!$F$2:$F$139,A49,'Все позиции'!$G$2:$G$139,B49,'Все позиции'!$R$2:$R$139,"Запчасть")</x:f>
        <x:v>34.71</x:v>
      </x:c>
      <x:c r="E49" s="4" t="n">
        <x:f>SUMIFS('Все позиции'!$M$2:$M$139,'Все позиции'!$F$2:$F$139,A49,'Все позиции'!$G$2:$G$139,B49,'Все позиции'!$R$2:$R$139,"Запчасть")</x:f>
        <x:v>7.98</x:v>
      </x:c>
      <x:c r="F49" s="4" t="n">
        <x:f>SUMIFS('Все позиции'!$N$2:$N$139,'Все позиции'!$F$2:$F$139,A49,'Все позиции'!$G$2:$G$139,B49,'Все позиции'!$R$2:$R$139,"Запчасть")</x:f>
        <x:v>42.69</x:v>
      </x:c>
    </x:row>
    <x:row r="50">
      <x:c r="A50" t="str">
        <x:v>ENT250543 Uszczelka przeciwpyłowa wtryskiwacza CR</x:v>
      </x:c>
      <x:c r="B50" t="str">
        <x:v>ENGITECH</x:v>
      </x:c>
      <x:c r="C50" s="3" t="n">
        <x:f>SUMIFS('Все позиции'!$H$2:$H$139,'Все позиции'!$F$2:$F$139,A50,'Все позиции'!$G$2:$G$139,B50,'Все позиции'!$R$2:$R$139,"Запчасть")</x:f>
        <x:v>5</x:v>
      </x:c>
      <x:c r="D50" s="4" t="n">
        <x:f>SUMIFS('Все позиции'!$K$2:$K$139,'Все позиции'!$F$2:$F$139,A50,'Все позиции'!$G$2:$G$139,B50,'Все позиции'!$R$2:$R$139,"Запчасть")</x:f>
        <x:v>111.75</x:v>
      </x:c>
      <x:c r="E50" s="4" t="n">
        <x:f>SUMIFS('Все позиции'!$M$2:$M$139,'Все позиции'!$F$2:$F$139,A50,'Все позиции'!$G$2:$G$139,B50,'Все позиции'!$R$2:$R$139,"Запчасть")</x:f>
        <x:v>25.71</x:v>
      </x:c>
      <x:c r="F50" s="4" t="n">
        <x:f>SUMIFS('Все позиции'!$N$2:$N$139,'Все позиции'!$F$2:$F$139,A50,'Все позиции'!$G$2:$G$139,B50,'Все позиции'!$R$2:$R$139,"Запчасть")</x:f>
        <x:v>137.46</x:v>
      </x:c>
    </x:row>
    <x:row r="51">
      <x:c r="A51" t="str">
        <x:v>ES20311-12B1 Sonda lambda</x:v>
      </x:c>
      <x:c r="B51" t="str">
        <x:v>DELPHI</x:v>
      </x:c>
      <x:c r="C51" s="3" t="n">
        <x:f>SUMIFS('Все позиции'!$H$2:$H$139,'Все позиции'!$F$2:$F$139,A51,'Все позиции'!$G$2:$G$139,B51,'Все позиции'!$R$2:$R$139,"Запчасть")</x:f>
        <x:v>1</x:v>
      </x:c>
      <x:c r="D51" s="4" t="n">
        <x:f>SUMIFS('Все позиции'!$K$2:$K$139,'Все позиции'!$F$2:$F$139,A51,'Все позиции'!$G$2:$G$139,B51,'Все позиции'!$R$2:$R$139,"Запчасть")</x:f>
        <x:v>136.91</x:v>
      </x:c>
      <x:c r="E51" s="4" t="n">
        <x:f>SUMIFS('Все позиции'!$M$2:$M$139,'Все позиции'!$F$2:$F$139,A51,'Все позиции'!$G$2:$G$139,B51,'Все позиции'!$R$2:$R$139,"Запчасть")</x:f>
        <x:v>31.49</x:v>
      </x:c>
      <x:c r="F51" s="4" t="n">
        <x:f>SUMIFS('Все позиции'!$N$2:$N$139,'Все позиции'!$F$2:$F$139,A51,'Все позиции'!$G$2:$G$139,B51,'Все позиции'!$R$2:$R$139,"Запчасть")</x:f>
        <x:v>168.4</x:v>
      </x:c>
    </x:row>
    <x:row r="52">
      <x:c r="A52" t="str">
        <x:v>EVMK0419 Zestaw montażowy turbosprężarki</x:v>
      </x:c>
      <x:c r="B52" t="str">
        <x:v>EVORON</x:v>
      </x:c>
      <x:c r="C52" s="3" t="n">
        <x:f>SUMIFS('Все позиции'!$H$2:$H$139,'Все позиции'!$F$2:$F$139,A52,'Все позиции'!$G$2:$G$139,B52,'Все позиции'!$R$2:$R$139,"Запчасть")</x:f>
        <x:v>0</x:v>
      </x:c>
      <x:c r="D52" s="4" t="n">
        <x:f>SUMIFS('Все позиции'!$K$2:$K$139,'Все позиции'!$F$2:$F$139,A52,'Все позиции'!$G$2:$G$139,B52,'Все позиции'!$R$2:$R$139,"Запчасть")</x:f>
        <x:v>0</x:v>
      </x:c>
      <x:c r="E52" s="4" t="n">
        <x:f>SUMIFS('Все позиции'!$M$2:$M$139,'Все позиции'!$F$2:$F$139,A52,'Все позиции'!$G$2:$G$139,B52,'Все позиции'!$R$2:$R$139,"Запчасть")</x:f>
        <x:v>-0.009999999999999787</x:v>
      </x:c>
      <x:c r="F52" s="4" t="n">
        <x:f>SUMIFS('Все позиции'!$N$2:$N$139,'Все позиции'!$F$2:$F$139,A52,'Все позиции'!$G$2:$G$139,B52,'Все позиции'!$R$2:$R$139,"Запчасть")</x:f>
        <x:v>-0.00999999999999801</x:v>
      </x:c>
    </x:row>
    <x:row r="53">
      <x:c r="A53" t="str">
        <x:v>F 026 407 364 Filtr oleju</x:v>
      </x:c>
      <x:c r="B53" t="str">
        <x:v>BOSCH</x:v>
      </x:c>
      <x:c r="C53" s="3" t="n">
        <x:f>SUMIFS('Все позиции'!$H$2:$H$139,'Все позиции'!$F$2:$F$139,A53,'Все позиции'!$G$2:$G$139,B53,'Все позиции'!$R$2:$R$139,"Запчасть")</x:f>
        <x:v>1</x:v>
      </x:c>
      <x:c r="D53" s="4" t="n">
        <x:f>SUMIFS('Все позиции'!$K$2:$K$139,'Все позиции'!$F$2:$F$139,A53,'Все позиции'!$G$2:$G$139,B53,'Все позиции'!$R$2:$R$139,"Запчасть")</x:f>
        <x:v>14.88</x:v>
      </x:c>
      <x:c r="E53" s="4" t="n">
        <x:f>SUMIFS('Все позиции'!$M$2:$M$139,'Все позиции'!$F$2:$F$139,A53,'Все позиции'!$G$2:$G$139,B53,'Все позиции'!$R$2:$R$139,"Запчасть")</x:f>
        <x:v>3.4299999999999997</x:v>
      </x:c>
      <x:c r="F53" s="4" t="n">
        <x:f>SUMIFS('Все позиции'!$N$2:$N$139,'Все позиции'!$F$2:$F$139,A53,'Все позиции'!$G$2:$G$139,B53,'Все позиции'!$R$2:$R$139,"Запчасть")</x:f>
        <x:v>18.310000000000002</x:v>
      </x:c>
    </x:row>
    <x:row r="54">
      <x:c r="A54" t="str">
        <x:v>FDB1323 Klocek hamulcowy kpl.</x:v>
      </x:c>
      <x:c r="B54" t="str">
        <x:v>FERODO</x:v>
      </x:c>
      <x:c r="C54" s="3" t="n">
        <x:f>SUMIFS('Все позиции'!$H$2:$H$139,'Все позиции'!$F$2:$F$139,A54,'Все позиции'!$G$2:$G$139,B54,'Все позиции'!$R$2:$R$139,"Запчасть")</x:f>
        <x:v>1</x:v>
      </x:c>
      <x:c r="D54" s="4" t="n">
        <x:f>SUMIFS('Все позиции'!$K$2:$K$139,'Все позиции'!$F$2:$F$139,A54,'Все позиции'!$G$2:$G$139,B54,'Все позиции'!$R$2:$R$139,"Запчасть")</x:f>
        <x:v>95.25</x:v>
      </x:c>
      <x:c r="E54" s="4" t="n">
        <x:f>SUMIFS('Все позиции'!$M$2:$M$139,'Все позиции'!$F$2:$F$139,A54,'Все позиции'!$G$2:$G$139,B54,'Все позиции'!$R$2:$R$139,"Запчасть")</x:f>
        <x:v>21.91</x:v>
      </x:c>
      <x:c r="F54" s="4" t="n">
        <x:f>SUMIFS('Все позиции'!$N$2:$N$139,'Все позиции'!$F$2:$F$139,A54,'Все позиции'!$G$2:$G$139,B54,'Все позиции'!$R$2:$R$139,"Запчасть")</x:f>
        <x:v>117.16</x:v>
      </x:c>
    </x:row>
    <x:row r="55">
      <x:c r="A55" t="str">
        <x:v>FE02113 Korek wlewu oleju</x:v>
      </x:c>
      <x:c r="B55" t="str">
        <x:v>FEBI</x:v>
      </x:c>
      <x:c r="C55" s="3" t="n">
        <x:f>SUMIFS('Все позиции'!$H$2:$H$139,'Все позиции'!$F$2:$F$139,A55,'Все позиции'!$G$2:$G$139,B55,'Все позиции'!$R$2:$R$139,"Запчасть")</x:f>
        <x:v>1</x:v>
      </x:c>
      <x:c r="D55" s="4" t="n">
        <x:f>SUMIFS('Все позиции'!$K$2:$K$139,'Все позиции'!$F$2:$F$139,A55,'Все позиции'!$G$2:$G$139,B55,'Все позиции'!$R$2:$R$139,"Запчасть")</x:f>
        <x:v>5.17</x:v>
      </x:c>
      <x:c r="E55" s="4" t="n">
        <x:f>SUMIFS('Все позиции'!$M$2:$M$139,'Все позиции'!$F$2:$F$139,A55,'Все позиции'!$G$2:$G$139,B55,'Все позиции'!$R$2:$R$139,"Запчасть")</x:f>
        <x:v>1.19</x:v>
      </x:c>
      <x:c r="F55" s="4" t="n">
        <x:f>SUMIFS('Все позиции'!$N$2:$N$139,'Все позиции'!$F$2:$F$139,A55,'Все позиции'!$G$2:$G$139,B55,'Все позиции'!$R$2:$R$139,"Запчасть")</x:f>
        <x:v>6.359999999999999</x:v>
      </x:c>
    </x:row>
    <x:row r="56">
      <x:c r="A56" t="str">
        <x:v>FE23333 Tarcza hamulcowa</x:v>
      </x:c>
      <x:c r="B56" t="str">
        <x:v>FEBI</x:v>
      </x:c>
      <x:c r="C56" s="3" t="n">
        <x:f>SUMIFS('Все позиции'!$H$2:$H$139,'Все позиции'!$F$2:$F$139,A56,'Все позиции'!$G$2:$G$139,B56,'Все позиции'!$R$2:$R$139,"Запчасть")</x:f>
        <x:v>2</x:v>
      </x:c>
      <x:c r="D56" s="4" t="n">
        <x:f>SUMIFS('Все позиции'!$K$2:$K$139,'Все позиции'!$F$2:$F$139,A56,'Все позиции'!$G$2:$G$139,B56,'Все позиции'!$R$2:$R$139,"Запчасть")</x:f>
        <x:v>289.86</x:v>
      </x:c>
      <x:c r="E56" s="4" t="n">
        <x:f>SUMIFS('Все позиции'!$M$2:$M$139,'Все позиции'!$F$2:$F$139,A56,'Все позиции'!$G$2:$G$139,B56,'Все позиции'!$R$2:$R$139,"Запчасть")</x:f>
        <x:v>66.67</x:v>
      </x:c>
      <x:c r="F56" s="4" t="n">
        <x:f>SUMIFS('Все позиции'!$N$2:$N$139,'Все позиции'!$F$2:$F$139,A56,'Все позиции'!$G$2:$G$139,B56,'Все позиции'!$R$2:$R$139,"Запчасть")</x:f>
        <x:v>356.53000000000003</x:v>
      </x:c>
    </x:row>
    <x:row r="57">
      <x:c r="A57" t="str">
        <x:v>GDB1540 Klocek hamulcowy kpl.</x:v>
      </x:c>
      <x:c r="B57" t="str">
        <x:v>TRW</x:v>
      </x:c>
      <x:c r="C57" s="3" t="n">
        <x:f>SUMIFS('Все позиции'!$H$2:$H$139,'Все позиции'!$F$2:$F$139,A57,'Все позиции'!$G$2:$G$139,B57,'Все позиции'!$R$2:$R$139,"Запчасть")</x:f>
        <x:v>1</x:v>
      </x:c>
      <x:c r="D57" s="4" t="n">
        <x:f>SUMIFS('Все позиции'!$K$2:$K$139,'Все позиции'!$F$2:$F$139,A57,'Все позиции'!$G$2:$G$139,B57,'Все позиции'!$R$2:$R$139,"Запчасть")</x:f>
        <x:v>95.18</x:v>
      </x:c>
      <x:c r="E57" s="4" t="n">
        <x:f>SUMIFS('Все позиции'!$M$2:$M$139,'Все позиции'!$F$2:$F$139,A57,'Все позиции'!$G$2:$G$139,B57,'Все позиции'!$R$2:$R$139,"Запчасть")</x:f>
        <x:v>21.89</x:v>
      </x:c>
      <x:c r="F57" s="4" t="n">
        <x:f>SUMIFS('Все позиции'!$N$2:$N$139,'Все позиции'!$F$2:$F$139,A57,'Все позиции'!$G$2:$G$139,B57,'Все позиции'!$R$2:$R$139,"Запчасть")</x:f>
        <x:v>117.07000000000001</x:v>
      </x:c>
    </x:row>
    <x:row r="58">
      <x:c r="A58" t="str">
        <x:v>H13W01 Filtr oleju</x:v>
      </x:c>
      <x:c r="B58" t="str">
        <x:v>HENGST</x:v>
      </x:c>
      <x:c r="C58" s="3" t="n">
        <x:f>SUMIFS('Все позиции'!$H$2:$H$139,'Все позиции'!$F$2:$F$139,A58,'Все позиции'!$G$2:$G$139,B58,'Все позиции'!$R$2:$R$139,"Запчасть")</x:f>
        <x:v>1</x:v>
      </x:c>
      <x:c r="D58" s="4" t="n">
        <x:f>SUMIFS('Все позиции'!$K$2:$K$139,'Все позиции'!$F$2:$F$139,A58,'Все позиции'!$G$2:$G$139,B58,'Все позиции'!$R$2:$R$139,"Запчасть")</x:f>
        <x:v>15.02</x:v>
      </x:c>
      <x:c r="E58" s="4" t="n">
        <x:f>SUMIFS('Все позиции'!$M$2:$M$139,'Все позиции'!$F$2:$F$139,A58,'Все позиции'!$G$2:$G$139,B58,'Все позиции'!$R$2:$R$139,"Запчасть")</x:f>
        <x:v>3.45</x:v>
      </x:c>
      <x:c r="F58" s="4" t="n">
        <x:f>SUMIFS('Все позиции'!$N$2:$N$139,'Все позиции'!$F$2:$F$139,A58,'Все позиции'!$G$2:$G$139,B58,'Все позиции'!$R$2:$R$139,"Запчасть")</x:f>
        <x:v>18.47</x:v>
      </x:c>
    </x:row>
    <x:row r="59">
      <x:c r="A59" t="str">
        <x:v>H14W23 Filtr oleju</x:v>
      </x:c>
      <x:c r="B59" t="str">
        <x:v>HENGST</x:v>
      </x:c>
      <x:c r="C59" s="3" t="n">
        <x:f>SUMIFS('Все позиции'!$H$2:$H$139,'Все позиции'!$F$2:$F$139,A59,'Все позиции'!$G$2:$G$139,B59,'Все позиции'!$R$2:$R$139,"Запчасть")</x:f>
        <x:v>1</x:v>
      </x:c>
      <x:c r="D59" s="4" t="n">
        <x:f>SUMIFS('Все позиции'!$K$2:$K$139,'Все позиции'!$F$2:$F$139,A59,'Все позиции'!$G$2:$G$139,B59,'Все позиции'!$R$2:$R$139,"Запчасть")</x:f>
        <x:v>19.18</x:v>
      </x:c>
      <x:c r="E59" s="4" t="n">
        <x:f>SUMIFS('Все позиции'!$M$2:$M$139,'Все позиции'!$F$2:$F$139,A59,'Все позиции'!$G$2:$G$139,B59,'Все позиции'!$R$2:$R$139,"Запчасть")</x:f>
        <x:v>4.41</x:v>
      </x:c>
      <x:c r="F59" s="4" t="n">
        <x:f>SUMIFS('Все позиции'!$N$2:$N$139,'Все позиции'!$F$2:$F$139,A59,'Все позиции'!$G$2:$G$139,B59,'Все позиции'!$R$2:$R$139,"Запчасть")</x:f>
        <x:v>23.59</x:v>
      </x:c>
    </x:row>
    <x:row r="60">
      <x:c r="A60" t="str">
        <x:v>HEPTM7003 Przewód plastikowy układu chłodzenia (od</x:v>
      </x:c>
      <x:c r="B60" t="str">
        <x:v>HEPU</x:v>
      </x:c>
      <x:c r="C60" s="3" t="n">
        <x:f>SUMIFS('Все позиции'!$H$2:$H$139,'Все позиции'!$F$2:$F$139,A60,'Все позиции'!$G$2:$G$139,B60,'Все позиции'!$R$2:$R$139,"Запчасть")</x:f>
        <x:v>1</x:v>
      </x:c>
      <x:c r="D60" s="4" t="n">
        <x:f>SUMIFS('Все позиции'!$K$2:$K$139,'Все позиции'!$F$2:$F$139,A60,'Все позиции'!$G$2:$G$139,B60,'Все позиции'!$R$2:$R$139,"Запчасть")</x:f>
        <x:v>148.63</x:v>
      </x:c>
      <x:c r="E60" s="4" t="n">
        <x:f>SUMIFS('Все позиции'!$M$2:$M$139,'Все позиции'!$F$2:$F$139,A60,'Все позиции'!$G$2:$G$139,B60,'Все позиции'!$R$2:$R$139,"Запчасть")</x:f>
        <x:v>34.19</x:v>
      </x:c>
      <x:c r="F60" s="4" t="n">
        <x:f>SUMIFS('Все позиции'!$N$2:$N$139,'Все позиции'!$F$2:$F$139,A60,'Все позиции'!$G$2:$G$139,B60,'Все позиции'!$R$2:$R$139,"Запчасть")</x:f>
        <x:v>182.82</x:v>
      </x:c>
    </x:row>
    <x:row r="61">
      <x:c r="A61" t="str">
        <x:v>HP113 776/20 Bezpiecznik</x:v>
      </x:c>
      <x:c r="B61" t="str">
        <x:v>HANS PRIES</x:v>
      </x:c>
      <x:c r="C61" s="3" t="n">
        <x:f>SUMIFS('Все позиции'!$H$2:$H$139,'Все позиции'!$F$2:$F$139,A61,'Все позиции'!$G$2:$G$139,B61,'Все позиции'!$R$2:$R$139,"Запчасть")</x:f>
        <x:v>1</x:v>
      </x:c>
      <x:c r="D61" s="4" t="n">
        <x:f>SUMIFS('Все позиции'!$K$2:$K$139,'Все позиции'!$F$2:$F$139,A61,'Все позиции'!$G$2:$G$139,B61,'Все позиции'!$R$2:$R$139,"Запчасть")</x:f>
        <x:v>28.46</x:v>
      </x:c>
      <x:c r="E61" s="4" t="n">
        <x:f>SUMIFS('Все позиции'!$M$2:$M$139,'Все позиции'!$F$2:$F$139,A61,'Все позиции'!$G$2:$G$139,B61,'Все позиции'!$R$2:$R$139,"Запчасть")</x:f>
        <x:v>6.55</x:v>
      </x:c>
      <x:c r="F61" s="4" t="n">
        <x:f>SUMIFS('Все позиции'!$N$2:$N$139,'Все позиции'!$F$2:$F$139,A61,'Все позиции'!$G$2:$G$139,B61,'Все позиции'!$R$2:$R$139,"Запчасть")</x:f>
        <x:v>35.01</x:v>
      </x:c>
    </x:row>
    <x:row r="62">
      <x:c r="A62" t="str">
        <x:v>HP115 086 Uszczelka turbosprężarki</x:v>
      </x:c>
      <x:c r="B62" t="str">
        <x:v>HANS PRIES</x:v>
      </x:c>
      <x:c r="C62" s="3" t="n">
        <x:f>SUMIFS('Все позиции'!$H$2:$H$139,'Все позиции'!$F$2:$F$139,A62,'Все позиции'!$G$2:$G$139,B62,'Все позиции'!$R$2:$R$139,"Запчасть")</x:f>
        <x:v>1</x:v>
      </x:c>
      <x:c r="D62" s="4" t="n">
        <x:f>SUMIFS('Все позиции'!$K$2:$K$139,'Все позиции'!$F$2:$F$139,A62,'Все позиции'!$G$2:$G$139,B62,'Все позиции'!$R$2:$R$139,"Запчасть")</x:f>
        <x:v>4.04</x:v>
      </x:c>
      <x:c r="E62" s="4" t="n">
        <x:f>SUMIFS('Все позиции'!$M$2:$M$139,'Все позиции'!$F$2:$F$139,A62,'Все позиции'!$G$2:$G$139,B62,'Все позиции'!$R$2:$R$139,"Запчасть")</x:f>
        <x:v>0.93</x:v>
      </x:c>
      <x:c r="F62" s="4" t="n">
        <x:f>SUMIFS('Все позиции'!$N$2:$N$139,'Все позиции'!$F$2:$F$139,A62,'Все позиции'!$G$2:$G$139,B62,'Все позиции'!$R$2:$R$139,"Запчасть")</x:f>
        <x:v>4.97</x:v>
      </x:c>
    </x:row>
    <x:row r="63">
      <x:c r="A63" t="str">
        <x:v>K 1111A Filtr kabiny</x:v>
      </x:c>
      <x:c r="B63" t="str">
        <x:v>FILTRON</x:v>
      </x:c>
      <x:c r="C63" s="3" t="n">
        <x:f>SUMIFS('Все позиции'!$H$2:$H$139,'Все позиции'!$F$2:$F$139,A63,'Все позиции'!$G$2:$G$139,B63,'Все позиции'!$R$2:$R$139,"Запчасть")</x:f>
        <x:v>1</x:v>
      </x:c>
      <x:c r="D63" s="4" t="n">
        <x:f>SUMIFS('Все позиции'!$K$2:$K$139,'Все позиции'!$F$2:$F$139,A63,'Все позиции'!$G$2:$G$139,B63,'Все позиции'!$R$2:$R$139,"Запчасть")</x:f>
        <x:v>26.22</x:v>
      </x:c>
      <x:c r="E63" s="4" t="n">
        <x:f>SUMIFS('Все позиции'!$M$2:$M$139,'Все позиции'!$F$2:$F$139,A63,'Все позиции'!$G$2:$G$139,B63,'Все позиции'!$R$2:$R$139,"Запчасть")</x:f>
        <x:v>6.03</x:v>
      </x:c>
      <x:c r="F63" s="4" t="n">
        <x:f>SUMIFS('Все позиции'!$N$2:$N$139,'Все позиции'!$F$2:$F$139,A63,'Все позиции'!$G$2:$G$139,B63,'Все позиции'!$R$2:$R$139,"Запчасть")</x:f>
        <x:v>32.25</x:v>
      </x:c>
    </x:row>
    <x:row r="64">
      <x:c r="A64" t="str">
        <x:v>K 1146A Filtr kabiny</x:v>
      </x:c>
      <x:c r="B64" t="str">
        <x:v>FILTRON</x:v>
      </x:c>
      <x:c r="C64" s="3" t="n">
        <x:f>SUMIFS('Все позиции'!$H$2:$H$139,'Все позиции'!$F$2:$F$139,A64,'Все позиции'!$G$2:$G$139,B64,'Все позиции'!$R$2:$R$139,"Запчасть")</x:f>
        <x:v>1</x:v>
      </x:c>
      <x:c r="D64" s="4" t="n">
        <x:f>SUMIFS('Все позиции'!$K$2:$K$139,'Все позиции'!$F$2:$F$139,A64,'Все позиции'!$G$2:$G$139,B64,'Все позиции'!$R$2:$R$139,"Запчасть")</x:f>
        <x:v>39.99</x:v>
      </x:c>
      <x:c r="E64" s="4" t="n">
        <x:f>SUMIFS('Все позиции'!$M$2:$M$139,'Все позиции'!$F$2:$F$139,A64,'Все позиции'!$G$2:$G$139,B64,'Все позиции'!$R$2:$R$139,"Запчасть")</x:f>
        <x:v>9.2</x:v>
      </x:c>
      <x:c r="F64" s="4" t="n">
        <x:f>SUMIFS('Все позиции'!$N$2:$N$139,'Все позиции'!$F$2:$F$139,A64,'Все позиции'!$G$2:$G$139,B64,'Все позиции'!$R$2:$R$139,"Запчасть")</x:f>
        <x:v>49.19</x:v>
      </x:c>
    </x:row>
    <x:row r="65">
      <x:c r="A65" t="str">
        <x:v>K 1311A Filtr kabiny</x:v>
      </x:c>
      <x:c r="B65" t="str">
        <x:v>FILTRON</x:v>
      </x:c>
      <x:c r="C65" s="3" t="n">
        <x:f>SUMIFS('Все позиции'!$H$2:$H$139,'Все позиции'!$F$2:$F$139,A65,'Все позиции'!$G$2:$G$139,B65,'Все позиции'!$R$2:$R$139,"Запчасть")</x:f>
        <x:v>1</x:v>
      </x:c>
      <x:c r="D65" s="4" t="n">
        <x:f>SUMIFS('Все позиции'!$K$2:$K$139,'Все позиции'!$F$2:$F$139,A65,'Все позиции'!$G$2:$G$139,B65,'Все позиции'!$R$2:$R$139,"Запчасть")</x:f>
        <x:v>25.44</x:v>
      </x:c>
      <x:c r="E65" s="4" t="n">
        <x:f>SUMIFS('Все позиции'!$M$2:$M$139,'Все позиции'!$F$2:$F$139,A65,'Все позиции'!$G$2:$G$139,B65,'Все позиции'!$R$2:$R$139,"Запчасть")</x:f>
        <x:v>5.85</x:v>
      </x:c>
      <x:c r="F65" s="4" t="n">
        <x:f>SUMIFS('Все позиции'!$N$2:$N$139,'Все позиции'!$F$2:$F$139,A65,'Все позиции'!$G$2:$G$139,B65,'Все позиции'!$R$2:$R$139,"Запчасть")</x:f>
        <x:v>31.29</x:v>
      </x:c>
    </x:row>
    <x:row r="66">
      <x:c r="A66" t="str">
        <x:v>K04W018AKN Stacyjka zapłonu</x:v>
      </x:c>
      <x:c r="B66" t="str">
        <x:v>AKUSAN</x:v>
      </x:c>
      <x:c r="C66" s="3" t="n">
        <x:f>SUMIFS('Все позиции'!$H$2:$H$139,'Все позиции'!$F$2:$F$139,A66,'Все позиции'!$G$2:$G$139,B66,'Все позиции'!$R$2:$R$139,"Запчасть")</x:f>
        <x:v>0</x:v>
      </x:c>
      <x:c r="D66" s="4" t="n">
        <x:f>SUMIFS('Все позиции'!$K$2:$K$139,'Все позиции'!$F$2:$F$139,A66,'Все позиции'!$G$2:$G$139,B66,'Все позиции'!$R$2:$R$139,"Запчасть")</x:f>
        <x:v>0</x:v>
      </x:c>
      <x:c r="E66" s="4" t="n">
        <x:f>SUMIFS('Все позиции'!$M$2:$M$139,'Все позиции'!$F$2:$F$139,A66,'Все позиции'!$G$2:$G$139,B66,'Все позиции'!$R$2:$R$139,"Запчасть")</x:f>
        <x:v>0</x:v>
      </x:c>
      <x:c r="F66" s="4" t="n">
        <x:f>SUMIFS('Все позиции'!$N$2:$N$139,'Все позиции'!$F$2:$F$139,A66,'Все позиции'!$G$2:$G$139,B66,'Все позиции'!$R$2:$R$139,"Запчасть")</x:f>
        <x:v>0</x:v>
      </x:c>
    </x:row>
    <x:row r="67">
      <x:c r="A67" t="str">
        <x:v>LP1791 Klocek hamulcowy kpl.</x:v>
      </x:c>
      <x:c r="B67" t="str">
        <x:v>DELPHI</x:v>
      </x:c>
      <x:c r="C67" s="3" t="n">
        <x:f>SUMIFS('Все позиции'!$H$2:$H$139,'Все позиции'!$F$2:$F$139,A67,'Все позиции'!$G$2:$G$139,B67,'Все позиции'!$R$2:$R$139,"Запчасть")</x:f>
        <x:v>0</x:v>
      </x:c>
      <x:c r="D67" s="4" t="n">
        <x:f>SUMIFS('Все позиции'!$K$2:$K$139,'Все позиции'!$F$2:$F$139,A67,'Все позиции'!$G$2:$G$139,B67,'Все позиции'!$R$2:$R$139,"Запчасть")</x:f>
        <x:v>0</x:v>
      </x:c>
      <x:c r="E67" s="4" t="n">
        <x:f>SUMIFS('Все позиции'!$M$2:$M$139,'Все позиции'!$F$2:$F$139,A67,'Все позиции'!$G$2:$G$139,B67,'Все позиции'!$R$2:$R$139,"Запчасть")</x:f>
        <x:v>0</x:v>
      </x:c>
      <x:c r="F67" s="4" t="n">
        <x:f>SUMIFS('Все позиции'!$N$2:$N$139,'Все позиции'!$F$2:$F$139,A67,'Все позиции'!$G$2:$G$139,B67,'Все позиции'!$R$2:$R$139,"Запчасть")</x:f>
        <x:v>0</x:v>
      </x:c>
    </x:row>
    <x:row r="68">
      <x:c r="A68" t="str">
        <x:v>LP1824 Klocek hamulcowy kpl.</x:v>
      </x:c>
      <x:c r="B68" t="str">
        <x:v>DELPHI</x:v>
      </x:c>
      <x:c r="C68" s="3" t="n">
        <x:f>SUMIFS('Все позиции'!$H$2:$H$139,'Все позиции'!$F$2:$F$139,A68,'Все позиции'!$G$2:$G$139,B68,'Все позиции'!$R$2:$R$139,"Запчасть")</x:f>
        <x:v>2</x:v>
      </x:c>
      <x:c r="D68" s="4" t="n">
        <x:f>SUMIFS('Все позиции'!$K$2:$K$139,'Все позиции'!$F$2:$F$139,A68,'Все позиции'!$G$2:$G$139,B68,'Все позиции'!$R$2:$R$139,"Запчасть")</x:f>
        <x:v>154.08</x:v>
      </x:c>
      <x:c r="E68" s="4" t="n">
        <x:f>SUMIFS('Все позиции'!$M$2:$M$139,'Все позиции'!$F$2:$F$139,A68,'Все позиции'!$G$2:$G$139,B68,'Все позиции'!$R$2:$R$139,"Запчасть")</x:f>
        <x:v>35.44</x:v>
      </x:c>
      <x:c r="F68" s="4" t="n">
        <x:f>SUMIFS('Все позиции'!$N$2:$N$139,'Все позиции'!$F$2:$F$139,A68,'Все позиции'!$G$2:$G$139,B68,'Все позиции'!$R$2:$R$139,"Запчасть")</x:f>
        <x:v>189.52</x:v>
      </x:c>
    </x:row>
    <x:row r="69">
      <x:c r="A69" t="str">
        <x:v>LP1868 Klocek hamulcowy kpl.</x:v>
      </x:c>
      <x:c r="B69" t="str">
        <x:v>DELPHI</x:v>
      </x:c>
      <x:c r="C69" s="3" t="n">
        <x:f>SUMIFS('Все позиции'!$H$2:$H$139,'Все позиции'!$F$2:$F$139,A69,'Все позиции'!$G$2:$G$139,B69,'Все позиции'!$R$2:$R$139,"Запчасть")</x:f>
        <x:v>1</x:v>
      </x:c>
      <x:c r="D69" s="4" t="n">
        <x:f>SUMIFS('Все позиции'!$K$2:$K$139,'Все позиции'!$F$2:$F$139,A69,'Все позиции'!$G$2:$G$139,B69,'Все позиции'!$R$2:$R$139,"Запчасть")</x:f>
        <x:v>85.59</x:v>
      </x:c>
      <x:c r="E69" s="4" t="n">
        <x:f>SUMIFS('Все позиции'!$M$2:$M$139,'Все позиции'!$F$2:$F$139,A69,'Все позиции'!$G$2:$G$139,B69,'Все позиции'!$R$2:$R$139,"Запчасть")</x:f>
        <x:v>19.69</x:v>
      </x:c>
      <x:c r="F69" s="4" t="n">
        <x:f>SUMIFS('Все позиции'!$N$2:$N$139,'Все позиции'!$F$2:$F$139,A69,'Все позиции'!$G$2:$G$139,B69,'Все позиции'!$R$2:$R$139,"Запчасть")</x:f>
        <x:v>105.28</x:v>
      </x:c>
    </x:row>
    <x:row r="70">
      <x:c r="A70" t="str">
        <x:v>LP2005 Klocek hamulcowy kpl.</x:v>
      </x:c>
      <x:c r="B70" t="str">
        <x:v>DELPHI</x:v>
      </x:c>
      <x:c r="C70" s="3" t="n">
        <x:f>SUMIFS('Все позиции'!$H$2:$H$139,'Все позиции'!$F$2:$F$139,A70,'Все позиции'!$G$2:$G$139,B70,'Все позиции'!$R$2:$R$139,"Запчасть")</x:f>
        <x:v>1</x:v>
      </x:c>
      <x:c r="D70" s="4" t="n">
        <x:f>SUMIFS('Все позиции'!$K$2:$K$139,'Все позиции'!$F$2:$F$139,A70,'Все позиции'!$G$2:$G$139,B70,'Все позиции'!$R$2:$R$139,"Запчасть")</x:f>
        <x:v>80.51</x:v>
      </x:c>
      <x:c r="E70" s="4" t="n">
        <x:f>SUMIFS('Все позиции'!$M$2:$M$139,'Все позиции'!$F$2:$F$139,A70,'Все позиции'!$G$2:$G$139,B70,'Все позиции'!$R$2:$R$139,"Запчасть")</x:f>
        <x:v>18.52</x:v>
      </x:c>
      <x:c r="F70" s="4" t="n">
        <x:f>SUMIFS('Все позиции'!$N$2:$N$139,'Все позиции'!$F$2:$F$139,A70,'Все позиции'!$G$2:$G$139,B70,'Все позиции'!$R$2:$R$139,"Запчасть")</x:f>
        <x:v>99.03</x:v>
      </x:c>
    </x:row>
    <x:row r="71">
      <x:c r="A71" t="str">
        <x:v>NGK95815 Świeca zapłonowa</x:v>
      </x:c>
      <x:c r="B71" t="str">
        <x:v>NGK</x:v>
      </x:c>
      <x:c r="C71" s="3" t="n">
        <x:f>SUMIFS('Все позиции'!$H$2:$H$139,'Все позиции'!$F$2:$F$139,A71,'Все позиции'!$G$2:$G$139,B71,'Все позиции'!$R$2:$R$139,"Запчасть")</x:f>
        <x:v>4</x:v>
      </x:c>
      <x:c r="D71" s="4" t="n">
        <x:f>SUMIFS('Все позиции'!$K$2:$K$139,'Все позиции'!$F$2:$F$139,A71,'Все позиции'!$G$2:$G$139,B71,'Все позиции'!$R$2:$R$139,"Запчасть")</x:f>
        <x:v>176.56</x:v>
      </x:c>
      <x:c r="E71" s="4" t="n">
        <x:f>SUMIFS('Все позиции'!$M$2:$M$139,'Все позиции'!$F$2:$F$139,A71,'Все позиции'!$G$2:$G$139,B71,'Все позиции'!$R$2:$R$139,"Запчасть")</x:f>
        <x:v>40.61</x:v>
      </x:c>
      <x:c r="F71" s="4" t="n">
        <x:f>SUMIFS('Все позиции'!$N$2:$N$139,'Все позиции'!$F$2:$F$139,A71,'Все позиции'!$G$2:$G$139,B71,'Все позиции'!$R$2:$R$139,"Запчасть")</x:f>
        <x:v>217.17000000000002</x:v>
      </x:c>
    </x:row>
    <x:row r="72">
      <x:c r="A72" t="str">
        <x:v>NRF 38953 Włącznik ciśnieniowy klimatyzacji</x:v>
      </x:c>
      <x:c r="B72" t="str">
        <x:v>NRF</x:v>
      </x:c>
      <x:c r="C72" s="3" t="n">
        <x:f>SUMIFS('Все позиции'!$H$2:$H$139,'Все позиции'!$F$2:$F$139,A72,'Все позиции'!$G$2:$G$139,B72,'Все позиции'!$R$2:$R$139,"Запчасть")</x:f>
        <x:v>1</x:v>
      </x:c>
      <x:c r="D72" s="4" t="n">
        <x:f>SUMIFS('Все позиции'!$K$2:$K$139,'Все позиции'!$F$2:$F$139,A72,'Все позиции'!$G$2:$G$139,B72,'Все позиции'!$R$2:$R$139,"Запчасть")</x:f>
        <x:v>56.11</x:v>
      </x:c>
      <x:c r="E72" s="4" t="n">
        <x:f>SUMIFS('Все позиции'!$M$2:$M$139,'Все позиции'!$F$2:$F$139,A72,'Все позиции'!$G$2:$G$139,B72,'Все позиции'!$R$2:$R$139,"Запчасть")</x:f>
        <x:v>12.91</x:v>
      </x:c>
      <x:c r="F72" s="4" t="n">
        <x:f>SUMIFS('Все позиции'!$N$2:$N$139,'Все позиции'!$F$2:$F$139,A72,'Все позиции'!$G$2:$G$139,B72,'Все позиции'!$R$2:$R$139,"Запчасть")</x:f>
        <x:v>69.02</x:v>
      </x:c>
    </x:row>
    <x:row r="73">
      <x:c r="A73" t="str">
        <x:v>OC534 Filtr oleju</x:v>
      </x:c>
      <x:c r="B73" t="str">
        <x:v>KNECHT</x:v>
      </x:c>
      <x:c r="C73" s="3" t="n">
        <x:f>SUMIFS('Все позиции'!$H$2:$H$139,'Все позиции'!$F$2:$F$139,A73,'Все позиции'!$G$2:$G$139,B73,'Все позиции'!$R$2:$R$139,"Запчасть")</x:f>
        <x:v>1</x:v>
      </x:c>
      <x:c r="D73" s="4" t="n">
        <x:f>SUMIFS('Все позиции'!$K$2:$K$139,'Все позиции'!$F$2:$F$139,A73,'Все позиции'!$G$2:$G$139,B73,'Все позиции'!$R$2:$R$139,"Запчасть")</x:f>
        <x:v>14.38</x:v>
      </x:c>
      <x:c r="E73" s="4" t="n">
        <x:f>SUMIFS('Все позиции'!$M$2:$M$139,'Все позиции'!$F$2:$F$139,A73,'Все позиции'!$G$2:$G$139,B73,'Все позиции'!$R$2:$R$139,"Запчасть")</x:f>
        <x:v>3.31</x:v>
      </x:c>
      <x:c r="F73" s="4" t="n">
        <x:f>SUMIFS('Все позиции'!$N$2:$N$139,'Все позиции'!$F$2:$F$139,A73,'Все позиции'!$G$2:$G$139,B73,'Все позиции'!$R$2:$R$139,"Запчасть")</x:f>
        <x:v>17.69</x:v>
      </x:c>
    </x:row>
    <x:row r="74">
      <x:c r="A74" t="str">
        <x:v>OE 640/8 Filtr oleju</x:v>
      </x:c>
      <x:c r="B74" t="str">
        <x:v>FILTRON</x:v>
      </x:c>
      <x:c r="C74" s="3" t="n">
        <x:f>SUMIFS('Все позиции'!$H$2:$H$139,'Все позиции'!$F$2:$F$139,A74,'Все позиции'!$G$2:$G$139,B74,'Все позиции'!$R$2:$R$139,"Запчасть")</x:f>
        <x:v>1</x:v>
      </x:c>
      <x:c r="D74" s="4" t="n">
        <x:f>SUMIFS('Все позиции'!$K$2:$K$139,'Все позиции'!$F$2:$F$139,A74,'Все позиции'!$G$2:$G$139,B74,'Все позиции'!$R$2:$R$139,"Запчасть")</x:f>
        <x:v>15.7</x:v>
      </x:c>
      <x:c r="E74" s="4" t="n">
        <x:f>SUMIFS('Все позиции'!$M$2:$M$139,'Все позиции'!$F$2:$F$139,A74,'Все позиции'!$G$2:$G$139,B74,'Все позиции'!$R$2:$R$139,"Запчасть")</x:f>
        <x:v>3.61</x:v>
      </x:c>
      <x:c r="F74" s="4" t="n">
        <x:f>SUMIFS('Все позиции'!$N$2:$N$139,'Все позиции'!$F$2:$F$139,A74,'Все позиции'!$G$2:$G$139,B74,'Все позиции'!$R$2:$R$139,"Запчасть")</x:f>
        <x:v>19.31</x:v>
      </x:c>
    </x:row>
    <x:row r="75">
      <x:c r="A75" t="str">
        <x:v>OE 685/3 Filtr oleju</x:v>
      </x:c>
      <x:c r="B75" t="str">
        <x:v>FILTRON</x:v>
      </x:c>
      <x:c r="C75" s="3" t="n">
        <x:f>SUMIFS('Все позиции'!$H$2:$H$139,'Все позиции'!$F$2:$F$139,A75,'Все позиции'!$G$2:$G$139,B75,'Все позиции'!$R$2:$R$139,"Запчасть")</x:f>
        <x:v>1</x:v>
      </x:c>
      <x:c r="D75" s="4" t="n">
        <x:f>SUMIFS('Все позиции'!$K$2:$K$139,'Все позиции'!$F$2:$F$139,A75,'Все позиции'!$G$2:$G$139,B75,'Все позиции'!$R$2:$R$139,"Запчасть")</x:f>
        <x:v>11.13</x:v>
      </x:c>
      <x:c r="E75" s="4" t="n">
        <x:f>SUMIFS('Все позиции'!$M$2:$M$139,'Все позиции'!$F$2:$F$139,A75,'Все позиции'!$G$2:$G$139,B75,'Все позиции'!$R$2:$R$139,"Запчасть")</x:f>
        <x:v>2.56</x:v>
      </x:c>
      <x:c r="F75" s="4" t="n">
        <x:f>SUMIFS('Все позиции'!$N$2:$N$139,'Все позиции'!$F$2:$F$139,A75,'Все позиции'!$G$2:$G$139,B75,'Все позиции'!$R$2:$R$139,"Запчасть")</x:f>
        <x:v>13.690000000000001</x:v>
      </x:c>
    </x:row>
    <x:row r="76">
      <x:c r="A76" t="str">
        <x:v>OE 688/3 Filtr oleju</x:v>
      </x:c>
      <x:c r="B76" t="str">
        <x:v>FILTRON</x:v>
      </x:c>
      <x:c r="C76" s="3" t="n">
        <x:f>SUMIFS('Все позиции'!$H$2:$H$139,'Все позиции'!$F$2:$F$139,A76,'Все позиции'!$G$2:$G$139,B76,'Все позиции'!$R$2:$R$139,"Запчасть")</x:f>
        <x:v>1</x:v>
      </x:c>
      <x:c r="D76" s="4" t="n">
        <x:f>SUMIFS('Все позиции'!$K$2:$K$139,'Все позиции'!$F$2:$F$139,A76,'Все позиции'!$G$2:$G$139,B76,'Все позиции'!$R$2:$R$139,"Запчасть")</x:f>
        <x:v>15.39</x:v>
      </x:c>
      <x:c r="E76" s="4" t="n">
        <x:f>SUMIFS('Все позиции'!$M$2:$M$139,'Все позиции'!$F$2:$F$139,A76,'Все позиции'!$G$2:$G$139,B76,'Все позиции'!$R$2:$R$139,"Запчасть")</x:f>
        <x:v>3.55</x:v>
      </x:c>
      <x:c r="F76" s="4" t="n">
        <x:f>SUMIFS('Все позиции'!$N$2:$N$139,'Все позиции'!$F$2:$F$139,A76,'Все позиции'!$G$2:$G$139,B76,'Все позиции'!$R$2:$R$139,"Запчасть")</x:f>
        <x:v>18.94</x:v>
      </x:c>
    </x:row>
    <x:row r="77">
      <x:c r="A77" t="str">
        <x:v>PUR-PA0044 Filtr powietrza</x:v>
      </x:c>
      <x:c r="B77" t="str">
        <x:v>PURRO</x:v>
      </x:c>
      <x:c r="C77" s="3" t="n">
        <x:f>SUMIFS('Все позиции'!$H$2:$H$139,'Все позиции'!$F$2:$F$139,A77,'Все позиции'!$G$2:$G$139,B77,'Все позиции'!$R$2:$R$139,"Запчасть")</x:f>
        <x:v>1</x:v>
      </x:c>
      <x:c r="D77" s="4" t="n">
        <x:f>SUMIFS('Все позиции'!$K$2:$K$139,'Все позиции'!$F$2:$F$139,A77,'Все позиции'!$G$2:$G$139,B77,'Все позиции'!$R$2:$R$139,"Запчасть")</x:f>
        <x:v>17.95</x:v>
      </x:c>
      <x:c r="E77" s="4" t="n">
        <x:f>SUMIFS('Все позиции'!$M$2:$M$139,'Все позиции'!$F$2:$F$139,A77,'Все позиции'!$G$2:$G$139,B77,'Все позиции'!$R$2:$R$139,"Запчасть")</x:f>
        <x:v>4.13</x:v>
      </x:c>
      <x:c r="F77" s="4" t="n">
        <x:f>SUMIFS('Все позиции'!$N$2:$N$139,'Все позиции'!$F$2:$F$139,A77,'Все позиции'!$G$2:$G$139,B77,'Все позиции'!$R$2:$R$139,"Запчасть")</x:f>
        <x:v>22.08</x:v>
      </x:c>
    </x:row>
    <x:row r="78">
      <x:c r="A78" t="str">
        <x:v>PUR-PA8098 Filtr powietrza</x:v>
      </x:c>
      <x:c r="B78" t="str">
        <x:v>PURRO</x:v>
      </x:c>
      <x:c r="C78" s="3" t="n">
        <x:f>SUMIFS('Все позиции'!$H$2:$H$139,'Все позиции'!$F$2:$F$139,A78,'Все позиции'!$G$2:$G$139,B78,'Все позиции'!$R$2:$R$139,"Запчасть")</x:f>
        <x:v>1</x:v>
      </x:c>
      <x:c r="D78" s="4" t="n">
        <x:f>SUMIFS('Все позиции'!$K$2:$K$139,'Все позиции'!$F$2:$F$139,A78,'Все позиции'!$G$2:$G$139,B78,'Все позиции'!$R$2:$R$139,"Запчасть")</x:f>
        <x:v>19.6</x:v>
      </x:c>
      <x:c r="E78" s="4" t="n">
        <x:f>SUMIFS('Все позиции'!$M$2:$M$139,'Все позиции'!$F$2:$F$139,A78,'Все позиции'!$G$2:$G$139,B78,'Все позиции'!$R$2:$R$139,"Запчасть")</x:f>
        <x:v>4.51</x:v>
      </x:c>
      <x:c r="F78" s="4" t="n">
        <x:f>SUMIFS('Все позиции'!$N$2:$N$139,'Все позиции'!$F$2:$F$139,A78,'Все позиции'!$G$2:$G$139,B78,'Все позиции'!$R$2:$R$139,"Запчасть")</x:f>
        <x:v>24.11</x:v>
      </x:c>
    </x:row>
    <x:row r="79">
      <x:c r="A79" t="str">
        <x:v>PUR-PA8171 Filtr powietrza</x:v>
      </x:c>
      <x:c r="B79" t="str">
        <x:v>PURRO</x:v>
      </x:c>
      <x:c r="C79" s="3" t="n">
        <x:f>SUMIFS('Все позиции'!$H$2:$H$139,'Все позиции'!$F$2:$F$139,A79,'Все позиции'!$G$2:$G$139,B79,'Все позиции'!$R$2:$R$139,"Запчасть")</x:f>
        <x:v>1</x:v>
      </x:c>
      <x:c r="D79" s="4" t="n">
        <x:f>SUMIFS('Все позиции'!$K$2:$K$139,'Все позиции'!$F$2:$F$139,A79,'Все позиции'!$G$2:$G$139,B79,'Все позиции'!$R$2:$R$139,"Запчасть")</x:f>
        <x:v>24.61</x:v>
      </x:c>
      <x:c r="E79" s="4" t="n">
        <x:f>SUMIFS('Все позиции'!$M$2:$M$139,'Все позиции'!$F$2:$F$139,A79,'Все позиции'!$G$2:$G$139,B79,'Все позиции'!$R$2:$R$139,"Запчасть")</x:f>
        <x:v>5.66</x:v>
      </x:c>
      <x:c r="F79" s="4" t="n">
        <x:f>SUMIFS('Все позиции'!$N$2:$N$139,'Все позиции'!$F$2:$F$139,A79,'Все позиции'!$G$2:$G$139,B79,'Все позиции'!$R$2:$R$139,"Запчасть")</x:f>
        <x:v>30.27</x:v>
      </x:c>
    </x:row>
    <x:row r="80">
      <x:c r="A80" t="str">
        <x:v>PUR-PC7038AG Filtr kabiny</x:v>
      </x:c>
      <x:c r="B80" t="str">
        <x:v>PURRO</x:v>
      </x:c>
      <x:c r="C80" s="3" t="n">
        <x:f>SUMIFS('Все позиции'!$H$2:$H$139,'Все позиции'!$F$2:$F$139,A80,'Все позиции'!$G$2:$G$139,B80,'Все позиции'!$R$2:$R$139,"Запчасть")</x:f>
        <x:v>1</x:v>
      </x:c>
      <x:c r="D80" s="4" t="n">
        <x:f>SUMIFS('Все позиции'!$K$2:$K$139,'Все позиции'!$F$2:$F$139,A80,'Все позиции'!$G$2:$G$139,B80,'Все позиции'!$R$2:$R$139,"Запчасть")</x:f>
        <x:v>29.28</x:v>
      </x:c>
      <x:c r="E80" s="4" t="n">
        <x:f>SUMIFS('Все позиции'!$M$2:$M$139,'Все позиции'!$F$2:$F$139,A80,'Все позиции'!$G$2:$G$139,B80,'Все позиции'!$R$2:$R$139,"Запчасть")</x:f>
        <x:v>6.74</x:v>
      </x:c>
      <x:c r="F80" s="4" t="n">
        <x:f>SUMIFS('Все позиции'!$N$2:$N$139,'Все позиции'!$F$2:$F$139,A80,'Все позиции'!$G$2:$G$139,B80,'Все позиции'!$R$2:$R$139,"Запчасть")</x:f>
        <x:v>36.02</x:v>
      </x:c>
    </x:row>
    <x:row r="81">
      <x:c r="A81" t="str">
        <x:v>PUR-PF0030 Filtr paliwa</x:v>
      </x:c>
      <x:c r="B81" t="str">
        <x:v>PURRO</x:v>
      </x:c>
      <x:c r="C81" s="3" t="n">
        <x:f>SUMIFS('Все позиции'!$H$2:$H$139,'Все позиции'!$F$2:$F$139,A81,'Все позиции'!$G$2:$G$139,B81,'Все позиции'!$R$2:$R$139,"Запчасть")</x:f>
        <x:v>1</x:v>
      </x:c>
      <x:c r="D81" s="4" t="n">
        <x:f>SUMIFS('Все позиции'!$K$2:$K$139,'Все позиции'!$F$2:$F$139,A81,'Все позиции'!$G$2:$G$139,B81,'Все позиции'!$R$2:$R$139,"Запчасть")</x:f>
        <x:v>22.49</x:v>
      </x:c>
      <x:c r="E81" s="4" t="n">
        <x:f>SUMIFS('Все позиции'!$M$2:$M$139,'Все позиции'!$F$2:$F$139,A81,'Все позиции'!$G$2:$G$139,B81,'Все позиции'!$R$2:$R$139,"Запчасть")</x:f>
        <x:v>5.17</x:v>
      </x:c>
      <x:c r="F81" s="4" t="n">
        <x:f>SUMIFS('Все позиции'!$N$2:$N$139,'Все позиции'!$F$2:$F$139,A81,'Все позиции'!$G$2:$G$139,B81,'Все позиции'!$R$2:$R$139,"Запчасть")</x:f>
        <x:v>27.659999999999997</x:v>
      </x:c>
    </x:row>
    <x:row r="82">
      <x:c r="A82" t="str">
        <x:v>PUR-PO0000 Filtr oleju</x:v>
      </x:c>
      <x:c r="B82" t="str">
        <x:v>PURRO</x:v>
      </x:c>
      <x:c r="C82" s="3" t="n">
        <x:f>SUMIFS('Все позиции'!$H$2:$H$139,'Все позиции'!$F$2:$F$139,A82,'Все позиции'!$G$2:$G$139,B82,'Все позиции'!$R$2:$R$139,"Запчасть")</x:f>
        <x:v>1</x:v>
      </x:c>
      <x:c r="D82" s="4" t="n">
        <x:f>SUMIFS('Все позиции'!$K$2:$K$139,'Все позиции'!$F$2:$F$139,A82,'Все позиции'!$G$2:$G$139,B82,'Все позиции'!$R$2:$R$139,"Запчасть")</x:f>
        <x:v>8.81</x:v>
      </x:c>
      <x:c r="E82" s="4" t="n">
        <x:f>SUMIFS('Все позиции'!$M$2:$M$139,'Все позиции'!$F$2:$F$139,A82,'Все позиции'!$G$2:$G$139,B82,'Все позиции'!$R$2:$R$139,"Запчасть")</x:f>
        <x:v>2.03</x:v>
      </x:c>
      <x:c r="F82" s="4" t="n">
        <x:f>SUMIFS('Все позиции'!$N$2:$N$139,'Все позиции'!$F$2:$F$139,A82,'Все позиции'!$G$2:$G$139,B82,'Все позиции'!$R$2:$R$139,"Запчасть")</x:f>
        <x:v>10.84</x:v>
      </x:c>
    </x:row>
    <x:row r="83">
      <x:c r="A83" t="str">
        <x:v>RH04-0017 Wahacz zawieszenia koła przód</x:v>
      </x:c>
      <x:c r="B83" t="str">
        <x:v>REINHOCH</x:v>
      </x:c>
      <x:c r="C83" s="3" t="n">
        <x:f>SUMIFS('Все позиции'!$H$2:$H$139,'Все позиции'!$F$2:$F$139,A83,'Все позиции'!$G$2:$G$139,B83,'Все позиции'!$R$2:$R$139,"Запчасть")</x:f>
        <x:v>1</x:v>
      </x:c>
      <x:c r="D83" s="4" t="n">
        <x:f>SUMIFS('Все позиции'!$K$2:$K$139,'Все позиции'!$F$2:$F$139,A83,'Все позиции'!$G$2:$G$139,B83,'Все позиции'!$R$2:$R$139,"Запчасть")</x:f>
        <x:v>54.97</x:v>
      </x:c>
      <x:c r="E83" s="4" t="n">
        <x:f>SUMIFS('Все позиции'!$M$2:$M$139,'Все позиции'!$F$2:$F$139,A83,'Все позиции'!$G$2:$G$139,B83,'Все позиции'!$R$2:$R$139,"Запчасть")</x:f>
        <x:v>12.64</x:v>
      </x:c>
      <x:c r="F83" s="4" t="n">
        <x:f>SUMIFS('Все позиции'!$N$2:$N$139,'Все позиции'!$F$2:$F$139,A83,'Все позиции'!$G$2:$G$139,B83,'Все позиции'!$R$2:$R$139,"Запчасть")</x:f>
        <x:v>67.61</x:v>
      </x:c>
    </x:row>
    <x:row r="84">
      <x:c r="A84" t="str">
        <x:v>RH04-0018 Wahacz zawieszenia koła przód</x:v>
      </x:c>
      <x:c r="B84" t="str">
        <x:v>REINHOCH</x:v>
      </x:c>
      <x:c r="C84" s="3" t="n">
        <x:f>SUMIFS('Все позиции'!$H$2:$H$139,'Все позиции'!$F$2:$F$139,A84,'Все позиции'!$G$2:$G$139,B84,'Все позиции'!$R$2:$R$139,"Запчасть")</x:f>
        <x:v>1</x:v>
      </x:c>
      <x:c r="D84" s="4" t="n">
        <x:f>SUMIFS('Все позиции'!$K$2:$K$139,'Все позиции'!$F$2:$F$139,A84,'Все позиции'!$G$2:$G$139,B84,'Все позиции'!$R$2:$R$139,"Запчасть")</x:f>
        <x:v>54.97</x:v>
      </x:c>
      <x:c r="E84" s="4" t="n">
        <x:f>SUMIFS('Все позиции'!$M$2:$M$139,'Все позиции'!$F$2:$F$139,A84,'Все позиции'!$G$2:$G$139,B84,'Все позиции'!$R$2:$R$139,"Запчасть")</x:f>
        <x:v>12.64</x:v>
      </x:c>
      <x:c r="F84" s="4" t="n">
        <x:f>SUMIFS('Все позиции'!$N$2:$N$139,'Все позиции'!$F$2:$F$139,A84,'Все позиции'!$G$2:$G$139,B84,'Все позиции'!$R$2:$R$139,"Запчасть")</x:f>
        <x:v>67.61</x:v>
      </x:c>
    </x:row>
    <x:row r="85">
      <x:c r="A85" t="str">
        <x:v>RH04-0019 Wahacz zawieszenia koła przód</x:v>
      </x:c>
      <x:c r="B85" t="str">
        <x:v>REINHOCH</x:v>
      </x:c>
      <x:c r="C85" s="3" t="n">
        <x:f>SUMIFS('Все позиции'!$H$2:$H$139,'Все позиции'!$F$2:$F$139,A85,'Все позиции'!$G$2:$G$139,B85,'Все позиции'!$R$2:$R$139,"Запчасть")</x:f>
        <x:v>1</x:v>
      </x:c>
      <x:c r="D85" s="4" t="n">
        <x:f>SUMIFS('Все позиции'!$K$2:$K$139,'Все позиции'!$F$2:$F$139,A85,'Все позиции'!$G$2:$G$139,B85,'Все позиции'!$R$2:$R$139,"Запчасть")</x:f>
        <x:v>69.48</x:v>
      </x:c>
      <x:c r="E85" s="4" t="n">
        <x:f>SUMIFS('Все позиции'!$M$2:$M$139,'Все позиции'!$F$2:$F$139,A85,'Все позиции'!$G$2:$G$139,B85,'Все позиции'!$R$2:$R$139,"Запчасть")</x:f>
        <x:v>15.98</x:v>
      </x:c>
      <x:c r="F85" s="4" t="n">
        <x:f>SUMIFS('Все позиции'!$N$2:$N$139,'Все позиции'!$F$2:$F$139,A85,'Все позиции'!$G$2:$G$139,B85,'Все позиции'!$R$2:$R$139,"Запчасть")</x:f>
        <x:v>85.46000000000001</x:v>
      </x:c>
    </x:row>
    <x:row r="86">
      <x:c r="A86" t="str">
        <x:v>RH04-0020 Wahacz zawieszenia koła przód</x:v>
      </x:c>
      <x:c r="B86" t="str">
        <x:v>REINHOCH</x:v>
      </x:c>
      <x:c r="C86" s="3" t="n">
        <x:f>SUMIFS('Все позиции'!$H$2:$H$139,'Все позиции'!$F$2:$F$139,A86,'Все позиции'!$G$2:$G$139,B86,'Все позиции'!$R$2:$R$139,"Запчасть")</x:f>
        <x:v>1</x:v>
      </x:c>
      <x:c r="D86" s="4" t="n">
        <x:f>SUMIFS('Все позиции'!$K$2:$K$139,'Все позиции'!$F$2:$F$139,A86,'Все позиции'!$G$2:$G$139,B86,'Все позиции'!$R$2:$R$139,"Запчасть")</x:f>
        <x:v>69.48</x:v>
      </x:c>
      <x:c r="E86" s="4" t="n">
        <x:f>SUMIFS('Все позиции'!$M$2:$M$139,'Все позиции'!$F$2:$F$139,A86,'Все позиции'!$G$2:$G$139,B86,'Все позиции'!$R$2:$R$139,"Запчасть")</x:f>
        <x:v>15.98</x:v>
      </x:c>
      <x:c r="F86" s="4" t="n">
        <x:f>SUMIFS('Все позиции'!$N$2:$N$139,'Все позиции'!$F$2:$F$139,A86,'Все позиции'!$G$2:$G$139,B86,'Все позиции'!$R$2:$R$139,"Запчасть")</x:f>
        <x:v>85.46000000000001</x:v>
      </x:c>
    </x:row>
    <x:row r="87">
      <x:c r="A87" t="str">
        <x:v>RH06-0021 Łącznik drążka stabilizatora</x:v>
      </x:c>
      <x:c r="B87" t="str">
        <x:v>REINHOCH</x:v>
      </x:c>
      <x:c r="C87" s="3" t="n">
        <x:f>SUMIFS('Все позиции'!$H$2:$H$139,'Все позиции'!$F$2:$F$139,A87,'Все позиции'!$G$2:$G$139,B87,'Все позиции'!$R$2:$R$139,"Запчасть")</x:f>
        <x:v>2</x:v>
      </x:c>
      <x:c r="D87" s="4" t="n">
        <x:f>SUMIFS('Все позиции'!$K$2:$K$139,'Все позиции'!$F$2:$F$139,A87,'Все позиции'!$G$2:$G$139,B87,'Все позиции'!$R$2:$R$139,"Запчасть")</x:f>
        <x:v>51.48</x:v>
      </x:c>
      <x:c r="E87" s="4" t="n">
        <x:f>SUMIFS('Все позиции'!$M$2:$M$139,'Все позиции'!$F$2:$F$139,A87,'Все позиции'!$G$2:$G$139,B87,'Все позиции'!$R$2:$R$139,"Запчасть")</x:f>
        <x:v>11.84</x:v>
      </x:c>
      <x:c r="F87" s="4" t="n">
        <x:f>SUMIFS('Все позиции'!$N$2:$N$139,'Все позиции'!$F$2:$F$139,A87,'Все позиции'!$G$2:$G$139,B87,'Все позиции'!$R$2:$R$139,"Запчасть")</x:f>
        <x:v>63.31999999999999</x:v>
      </x:c>
    </x:row>
    <x:row r="88">
      <x:c r="A88" t="str">
        <x:v>RH11-0053 Części mocujące zawieszenia silnika</x:v>
      </x:c>
      <x:c r="B88" t="str">
        <x:v>REINHOCH</x:v>
      </x:c>
      <x:c r="C88" s="3" t="n">
        <x:f>SUMIFS('Все позиции'!$H$2:$H$139,'Все позиции'!$F$2:$F$139,A88,'Все позиции'!$G$2:$G$139,B88,'Все позиции'!$R$2:$R$139,"Запчасть")</x:f>
        <x:v>1</x:v>
      </x:c>
      <x:c r="D88" s="4" t="n">
        <x:f>SUMIFS('Все позиции'!$K$2:$K$139,'Все позиции'!$F$2:$F$139,A88,'Все позиции'!$G$2:$G$139,B88,'Все позиции'!$R$2:$R$139,"Запчасть")</x:f>
        <x:v>7.12</x:v>
      </x:c>
      <x:c r="E88" s="4" t="n">
        <x:f>SUMIFS('Все позиции'!$M$2:$M$139,'Все позиции'!$F$2:$F$139,A88,'Все позиции'!$G$2:$G$139,B88,'Все позиции'!$R$2:$R$139,"Запчасть")</x:f>
        <x:v>1.64</x:v>
      </x:c>
      <x:c r="F88" s="4" t="n">
        <x:f>SUMIFS('Все позиции'!$N$2:$N$139,'Все позиции'!$F$2:$F$139,A88,'Все позиции'!$G$2:$G$139,B88,'Все позиции'!$R$2:$R$139,"Запчасть")</x:f>
        <x:v>8.76</x:v>
      </x:c>
    </x:row>
    <x:row r="89">
      <x:c r="A89" t="str">
        <x:v>SEA BCF120 Komplet bezpieczników</x:v>
      </x:c>
      <x:c r="B89" t="str">
        <x:v>SEALEY</x:v>
      </x:c>
      <x:c r="C89" s="3" t="n">
        <x:f>SUMIFS('Все позиции'!$H$2:$H$139,'Все позиции'!$F$2:$F$139,A89,'Все позиции'!$G$2:$G$139,B89,'Все позиции'!$R$2:$R$139,"Запчасть")</x:f>
        <x:v>1</x:v>
      </x:c>
      <x:c r="D89" s="4" t="n">
        <x:f>SUMIFS('Все позиции'!$K$2:$K$139,'Все позиции'!$F$2:$F$139,A89,'Все позиции'!$G$2:$G$139,B89,'Все позиции'!$R$2:$R$139,"Запчасть")</x:f>
        <x:v>58.37</x:v>
      </x:c>
      <x:c r="E89" s="4" t="n">
        <x:f>SUMIFS('Все позиции'!$M$2:$M$139,'Все позиции'!$F$2:$F$139,A89,'Все позиции'!$G$2:$G$139,B89,'Все позиции'!$R$2:$R$139,"Запчасть")</x:f>
        <x:v>13.43</x:v>
      </x:c>
      <x:c r="F89" s="4" t="n">
        <x:f>SUMIFS('Все позиции'!$N$2:$N$139,'Все позиции'!$F$2:$F$139,A89,'Все позиции'!$G$2:$G$139,B89,'Все позиции'!$R$2:$R$139,"Запчасть")</x:f>
        <x:v>71.8</x:v>
      </x:c>
    </x:row>
    <x:row r="90">
      <x:c r="A90" t="str">
        <x:v>TM8600226 Kompresor klimatyzacji</x:v>
      </x:c>
      <x:c r="B90" t="str">
        <x:v>TEAMEC</x:v>
      </x:c>
      <x:c r="C90" s="3" t="n">
        <x:f>SUMIFS('Все позиции'!$H$2:$H$139,'Все позиции'!$F$2:$F$139,A90,'Все позиции'!$G$2:$G$139,B90,'Все позиции'!$R$2:$R$139,"Запчасть")</x:f>
        <x:v>0</x:v>
      </x:c>
      <x:c r="D90" s="4" t="n">
        <x:f>SUMIFS('Все позиции'!$K$2:$K$139,'Все позиции'!$F$2:$F$139,A90,'Все позиции'!$G$2:$G$139,B90,'Все позиции'!$R$2:$R$139,"Запчасть")</x:f>
        <x:v>0</x:v>
      </x:c>
      <x:c r="E90" s="4" t="n">
        <x:f>SUMIFS('Все позиции'!$M$2:$M$139,'Все позиции'!$F$2:$F$139,A90,'Все позиции'!$G$2:$G$139,B90,'Все позиции'!$R$2:$R$139,"Запчасть")</x:f>
        <x:v>0</x:v>
      </x:c>
      <x:c r="F90" s="4" t="n">
        <x:f>SUMIFS('Все позиции'!$N$2:$N$139,'Все позиции'!$F$2:$F$139,A90,'Все позиции'!$G$2:$G$139,B90,'Все позиции'!$R$2:$R$139,"Запчасть")</x:f>
        <x:v>0</x:v>
      </x:c>
    </x:row>
    <x:row r="91">
      <x:c r="A91" t="str">
        <x:v>VAL254070 Czujnik położenia wału korbowego</x:v>
      </x:c>
      <x:c r="B91" t="str">
        <x:v>VALEO</x:v>
      </x:c>
      <x:c r="C91" s="3" t="n">
        <x:f>SUMIFS('Все позиции'!$H$2:$H$139,'Все позиции'!$F$2:$F$139,A91,'Все позиции'!$G$2:$G$139,B91,'Все позиции'!$R$2:$R$139,"Запчасть")</x:f>
        <x:v>0</x:v>
      </x:c>
      <x:c r="D91" s="4" t="n">
        <x:f>SUMIFS('Все позиции'!$K$2:$K$139,'Все позиции'!$F$2:$F$139,A91,'Все позиции'!$G$2:$G$139,B91,'Все позиции'!$R$2:$R$139,"Запчасть")</x:f>
        <x:v>0</x:v>
      </x:c>
      <x:c r="E91" s="4" t="n">
        <x:f>SUMIFS('Все позиции'!$M$2:$M$139,'Все позиции'!$F$2:$F$139,A91,'Все позиции'!$G$2:$G$139,B91,'Все позиции'!$R$2:$R$139,"Запчасть")</x:f>
        <x:v>0</x:v>
      </x:c>
      <x:c r="F91" s="4" t="n">
        <x:f>SUMIFS('Все позиции'!$N$2:$N$139,'Все позиции'!$F$2:$F$139,A91,'Все позиции'!$G$2:$G$139,B91,'Все позиции'!$R$2:$R$139,"Запчасть")</x:f>
        <x:v>0</x:v>
      </x:c>
    </x:row>
    <x:row r="92">
      <x:c r="A92" t="str">
        <x:v>VAL715551 Filtr kabiny</x:v>
      </x:c>
      <x:c r="B92" t="str">
        <x:v>VALEO</x:v>
      </x:c>
      <x:c r="C92" s="3" t="n">
        <x:f>SUMIFS('Все позиции'!$H$2:$H$139,'Все позиции'!$F$2:$F$139,A92,'Все позиции'!$G$2:$G$139,B92,'Все позиции'!$R$2:$R$139,"Запчасть")</x:f>
        <x:v>2</x:v>
      </x:c>
      <x:c r="D92" s="4" t="n">
        <x:f>SUMIFS('Все позиции'!$K$2:$K$139,'Все позиции'!$F$2:$F$139,A92,'Все позиции'!$G$2:$G$139,B92,'Все позиции'!$R$2:$R$139,"Запчасть")</x:f>
        <x:v>36.64</x:v>
      </x:c>
      <x:c r="E92" s="4" t="n">
        <x:f>SUMIFS('Все позиции'!$M$2:$M$139,'Все позиции'!$F$2:$F$139,A92,'Все позиции'!$G$2:$G$139,B92,'Все позиции'!$R$2:$R$139,"Запчасть")</x:f>
        <x:v>8.42</x:v>
      </x:c>
      <x:c r="F92" s="4" t="n">
        <x:f>SUMIFS('Все позиции'!$N$2:$N$139,'Все позиции'!$F$2:$F$139,A92,'Все позиции'!$G$2:$G$139,B92,'Все позиции'!$R$2:$R$139,"Запчасть")</x:f>
        <x:v>45.06</x:v>
      </x:c>
    </x:row>
    <x:row r="93">
      <x:c r="A93" t="str">
        <x:v>VAL813148 Kompresor klimatyzacji</x:v>
      </x:c>
      <x:c r="B93" t="str">
        <x:v>VALEO</x:v>
      </x:c>
      <x:c r="C93" s="3" t="n">
        <x:f>SUMIFS('Все позиции'!$H$2:$H$139,'Все позиции'!$F$2:$F$139,A93,'Все позиции'!$G$2:$G$139,B93,'Все позиции'!$R$2:$R$139,"Запчасть")</x:f>
        <x:v>0</x:v>
      </x:c>
      <x:c r="D93" s="4" t="n">
        <x:f>SUMIFS('Все позиции'!$K$2:$K$139,'Все позиции'!$F$2:$F$139,A93,'Все позиции'!$G$2:$G$139,B93,'Все позиции'!$R$2:$R$139,"Запчасть")</x:f>
        <x:v>0</x:v>
      </x:c>
      <x:c r="E93" s="4" t="n">
        <x:f>SUMIFS('Все позиции'!$M$2:$M$139,'Все позиции'!$F$2:$F$139,A93,'Все позиции'!$G$2:$G$139,B93,'Все позиции'!$R$2:$R$139,"Запчасть")</x:f>
        <x:v>0</x:v>
      </x:c>
      <x:c r="F93" s="4" t="n">
        <x:f>SUMIFS('Все позиции'!$N$2:$N$139,'Все позиции'!$F$2:$F$139,A93,'Все позиции'!$G$2:$G$139,B93,'Все позиции'!$R$2:$R$139,"Запчасть")</x:f>
        <x:v>0</x:v>
      </x:c>
    </x:row>
    <x:row r="94">
      <x:c r="A94" t="str">
        <x:v>WS0162A Czujnik zużycia klocka hamulcowego</x:v>
      </x:c>
      <x:c r="B94" t="str">
        <x:v>QUICK</x:v>
      </x:c>
      <x:c r="C94" s="3" t="n">
        <x:f>SUMIFS('Все позиции'!$H$2:$H$139,'Все позиции'!$F$2:$F$139,A94,'Все позиции'!$G$2:$G$139,B94,'Все позиции'!$R$2:$R$139,"Запчасть")</x:f>
        <x:v>2</x:v>
      </x:c>
      <x:c r="D94" s="4" t="n">
        <x:f>SUMIFS('Все позиции'!$K$2:$K$139,'Все позиции'!$F$2:$F$139,A94,'Все позиции'!$G$2:$G$139,B94,'Все позиции'!$R$2:$R$139,"Запчасть")</x:f>
        <x:v>22.1</x:v>
      </x:c>
      <x:c r="E94" s="4" t="n">
        <x:f>SUMIFS('Все позиции'!$M$2:$M$139,'Все позиции'!$F$2:$F$139,A94,'Все позиции'!$G$2:$G$139,B94,'Все позиции'!$R$2:$R$139,"Запчасть")</x:f>
        <x:v>5.08</x:v>
      </x:c>
      <x:c r="F94" s="4" t="n">
        <x:f>SUMIFS('Все позиции'!$N$2:$N$139,'Все позиции'!$F$2:$F$139,A94,'Все позиции'!$G$2:$G$139,B94,'Все позиции'!$R$2:$R$139,"Запчасть")</x:f>
        <x:v>27.18</x:v>
      </x:c>
    </x:row>
  </x:sheetData>
  <x:conditionalFormatting sqref="C2:F94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4e82ec323146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3" hidden="0" customWidth="1"/>
    <x:col min="4" max="4" width="24" hidden="0" customWidth="1"/>
    <x:col min="5" max="5" width="50" hidden="0" customWidth="1"/>
    <x:col min="6" max="6" width="24" hidden="0" customWidth="1"/>
    <x:col min="7" max="7" width="12" hidden="0" customWidth="1"/>
    <x:col min="8" max="8" width="15" hidden="0" customWidth="1"/>
    <x:col min="9" max="9" width="17" hidden="0" customWidth="1"/>
    <x:col min="10" max="10" width="14" hidden="0" customWidth="1"/>
    <x:col min="11" max="11" width="17" hidden="0" customWidth="1"/>
    <x:col min="12" max="12" width="38" hidden="0" customWidth="1"/>
  </x:cols>
  <x:sheetData>
    <x:row r="1" ht="34" customHeight="1">
      <x:c r="A1" s="26" t="str">
        <x:v>Расходники, исключённые из зачёта запчастей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30" customHeight="1">
      <x:c r="A2" s="29" t="str">
        <x:v>Масла, жидкости, автохимия и материалы мастерской. Фильтры и устанавливаемые на автомобиль детали остаются на листе «Запчасти».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4">
      <x:c r="A4" s="30" t="str">
        <x:v>Группа расходников</x:v>
      </x:c>
      <x:c r="B4" s="30" t="str">
        <x:v>Netto, zł</x:v>
      </x:c>
      <x:c r="C4" s="30" t="str">
        <x:v>VAT, zł</x:v>
      </x:c>
      <x:c r="D4" s="30" t="str">
        <x:v>Brutto, zł</x:v>
      </x:c>
    </x:row>
    <x:row r="5">
      <x:c r="A5" s="31" t="str">
        <x:v>Моторное масло</x:v>
      </x:c>
      <x:c r="B5" s="42" t="n">
        <x:f>SUMIFS('Все позиции'!$K$2:$K$139,'Все позиции'!$S$2:$S$139,A5,'Все позиции'!$R$2:$R$139,"Расходник")</x:f>
        <x:v>2314.3199999999997</x:v>
      </x:c>
      <x:c r="C5" s="42" t="n">
        <x:f>SUMIFS('Все позиции'!$M$2:$M$139,'Все позиции'!$S$2:$S$139,A5,'Все позиции'!$R$2:$R$139,"Расходник")</x:f>
        <x:v>532.27</x:v>
      </x:c>
      <x:c r="D5" s="43" t="n">
        <x:f>SUMIFS('Все позиции'!$N$2:$N$139,'Все позиции'!$S$2:$S$139,A5,'Все позиции'!$R$2:$R$139,"Расходник")</x:f>
        <x:v>2846.59</x:v>
      </x:c>
    </x:row>
    <x:row r="6">
      <x:c r="A6" s="34" t="str">
        <x:v>Трансмиссионное масло</x:v>
      </x:c>
      <x:c r="B6" s="44" t="n">
        <x:f>SUMIFS('Все позиции'!$K$2:$K$139,'Все позиции'!$S$2:$S$139,A6,'Все позиции'!$R$2:$R$139,"Расходник")</x:f>
        <x:v>195.51</x:v>
      </x:c>
      <x:c r="C6" s="44" t="n">
        <x:f>SUMIFS('Все позиции'!$M$2:$M$139,'Все позиции'!$S$2:$S$139,A6,'Все позиции'!$R$2:$R$139,"Расходник")</x:f>
        <x:v>44.97</x:v>
      </x:c>
      <x:c r="D6" s="45" t="n">
        <x:f>SUMIFS('Все позиции'!$N$2:$N$139,'Все позиции'!$S$2:$S$139,A6,'Все позиции'!$R$2:$R$139,"Расходник")</x:f>
        <x:v>240.48</x:v>
      </x:c>
    </x:row>
    <x:row r="7">
      <x:c r="A7" s="34" t="str">
        <x:v>Охлаждающая жидкость</x:v>
      </x:c>
      <x:c r="B7" s="44" t="n">
        <x:f>SUMIFS('Все позиции'!$K$2:$K$139,'Все позиции'!$S$2:$S$139,A7,'Все позиции'!$R$2:$R$139,"Расходник")</x:f>
        <x:v>262.55</x:v>
      </x:c>
      <x:c r="C7" s="44" t="n">
        <x:f>SUMIFS('Все позиции'!$M$2:$M$139,'Все позиции'!$S$2:$S$139,A7,'Все позиции'!$R$2:$R$139,"Расходник")</x:f>
        <x:v>60.379999999999995</x:v>
      </x:c>
      <x:c r="D7" s="45" t="n">
        <x:f>SUMIFS('Все позиции'!$N$2:$N$139,'Все позиции'!$S$2:$S$139,A7,'Все позиции'!$R$2:$R$139,"Расходник")</x:f>
        <x:v>322.92999999999995</x:v>
      </x:c>
    </x:row>
    <x:row r="8">
      <x:c r="A8" s="34" t="str">
        <x:v>Масло кондиционера</x:v>
      </x:c>
      <x:c r="B8" s="44" t="n">
        <x:f>SUMIFS('Все позиции'!$K$2:$K$139,'Все позиции'!$S$2:$S$139,A8,'Все позиции'!$R$2:$R$139,"Расходник")</x:f>
        <x:v>67.6</x:v>
      </x:c>
      <x:c r="C8" s="44" t="n">
        <x:f>SUMIFS('Все позиции'!$M$2:$M$139,'Все позиции'!$S$2:$S$139,A8,'Все позиции'!$R$2:$R$139,"Расходник")</x:f>
        <x:v>15.55</x:v>
      </x:c>
      <x:c r="D8" s="45" t="n">
        <x:f>SUMIFS('Все позиции'!$N$2:$N$139,'Все позиции'!$S$2:$S$139,A8,'Все позиции'!$R$2:$R$139,"Расходник")</x:f>
        <x:v>83.14999999999999</x:v>
      </x:c>
    </x:row>
    <x:row r="9">
      <x:c r="A9" s="34" t="str">
        <x:v>Автохимия</x:v>
      </x:c>
      <x:c r="B9" s="44" t="n">
        <x:f>SUMIFS('Все позиции'!$K$2:$K$139,'Все позиции'!$S$2:$S$139,A9,'Все позиции'!$R$2:$R$139,"Расходник")</x:f>
        <x:v>244.01999999999998</x:v>
      </x:c>
      <x:c r="C9" s="44" t="n">
        <x:f>SUMIFS('Все позиции'!$M$2:$M$139,'Все позиции'!$S$2:$S$139,A9,'Все позиции'!$R$2:$R$139,"Расходник")</x:f>
        <x:v>50.71999999999999</x:v>
      </x:c>
      <x:c r="D9" s="45" t="n">
        <x:f>SUMIFS('Все позиции'!$N$2:$N$139,'Все позиции'!$S$2:$S$139,A9,'Все позиции'!$R$2:$R$139,"Расходник")</x:f>
        <x:v>294.74</x:v>
      </x:c>
    </x:row>
    <x:row r="10">
      <x:c r="A10" s="37" t="str">
        <x:v>СИЗ и материалы</x:v>
      </x:c>
      <x:c r="B10" s="46" t="n">
        <x:f>SUMIFS('Все позиции'!$K$2:$K$139,'Все позиции'!$S$2:$S$139,A10,'Все позиции'!$R$2:$R$139,"Расходник")</x:f>
        <x:v>44.14</x:v>
      </x:c>
      <x:c r="C10" s="46" t="n">
        <x:f>SUMIFS('Все позиции'!$M$2:$M$139,'Все позиции'!$S$2:$S$139,A10,'Все позиции'!$R$2:$R$139,"Расходник")</x:f>
        <x:v>10.15</x:v>
      </x:c>
      <x:c r="D10" s="47" t="n">
        <x:f>SUMIFS('Все позиции'!$N$2:$N$139,'Все позиции'!$S$2:$S$139,A10,'Все позиции'!$R$2:$R$139,"Расходник")</x:f>
        <x:v>54.29</x:v>
      </x:c>
    </x:row>
    <x:row r="11">
      <x:c r="A11" s="41" t="str">
        <x:v>Итого расходники</x:v>
      </x:c>
      <x:c r="B11" s="48" t="n">
        <x:f>SUM(B5:B10)</x:f>
        <x:v>3128.14</x:v>
      </x:c>
      <x:c r="C11" s="48" t="n">
        <x:f>SUM(C5:C10)</x:f>
        <x:v>714.04</x:v>
      </x:c>
      <x:c r="D11" s="48" t="n">
        <x:f>SUM(D5:D10)</x:f>
        <x:v>3842.1800000000003</x:v>
      </x:c>
    </x:row>
    <x:row r="14" ht="36" customHeight="1">
      <x:c r="A14" s="22" t="str">
        <x:v>Дата</x:v>
      </x:c>
      <x:c r="B14" s="22" t="str">
        <x:v>Тип</x:v>
      </x:c>
      <x:c r="C14" s="22" t="str">
        <x:v>№ документа</x:v>
      </x:c>
      <x:c r="D14" s="22" t="str">
        <x:v>Группа</x:v>
      </x:c>
      <x:c r="E14" s="22" t="str">
        <x:v>Товар / описание</x:v>
      </x:c>
      <x:c r="F14" s="22" t="str">
        <x:v>Производитель</x:v>
      </x:c>
      <x:c r="G14" s="22" t="str">
        <x:v>Количество</x:v>
      </x:c>
      <x:c r="H14" s="22" t="str">
        <x:v>Цена netto, zł</x:v>
      </x:c>
      <x:c r="I14" s="22" t="str">
        <x:v>Сумма netto, zł</x:v>
      </x:c>
      <x:c r="J14" s="22" t="str">
        <x:v>VAT, zł</x:v>
      </x:c>
      <x:c r="K14" s="22" t="str">
        <x:v>Сумма brutto, zł</x:v>
      </x:c>
      <x:c r="L14" s="22" t="str">
        <x:v>Файл-источник</x:v>
      </x:c>
    </x:row>
    <x:row r="15">
      <x:c r="A15" s="1" t="n">
        <x:f>'Все позиции'!A3</x:f>
        <x:v>46239</x:v>
      </x:c>
      <x:c r="B15" t="str">
        <x:f>'Все позиции'!B3</x:f>
        <x:v>F</x:v>
      </x:c>
      <x:c r="C15" t="str">
        <x:f>'Все позиции'!C3</x:f>
        <x:v>00044087/MAT/26/F</x:v>
      </x:c>
      <x:c r="D15" t="str">
        <x:f>'Все позиции'!S3</x:f>
        <x:v>Масло кондиционера</x:v>
      </x:c>
      <x:c r="E15" t="str">
        <x:f>'Все позиции'!F3</x:f>
        <x:v>ER OL6001.K.P2 Olej do układu klimatyzacji</x:v>
      </x:c>
      <x:c r="F15" t="str">
        <x:f>'Все позиции'!G3</x:f>
        <x:v>ERRECOM</x:v>
      </x:c>
      <x:c r="G15" s="3" t="n">
        <x:f>'Все позиции'!H3</x:f>
        <x:v>1</x:v>
      </x:c>
      <x:c r="H15" s="4" t="n">
        <x:f>'Все позиции'!I3</x:f>
        <x:v>67.6</x:v>
      </x:c>
      <x:c r="I15" s="4" t="n">
        <x:f>'Все позиции'!K3</x:f>
        <x:v>67.6</x:v>
      </x:c>
      <x:c r="J15" s="4" t="n">
        <x:f>'Все позиции'!M3</x:f>
        <x:v>15.55</x:v>
      </x:c>
      <x:c r="K15" s="4" t="n">
        <x:f>'Все позиции'!N3</x:f>
        <x:v>83.14999999999999</x:v>
      </x:c>
      <x:c r="L15" t="str">
        <x:f>'Все позиции'!P3</x:f>
        <x:v>Sales confirmation for document 44087(1).pdf</x:v>
      </x:c>
    </x:row>
    <x:row r="16">
      <x:c r="A16" s="1" t="n">
        <x:f>'Все позиции'!A10</x:f>
        <x:v>46240</x:v>
      </x:c>
      <x:c r="B16" t="str">
        <x:f>'Все позиции'!B10</x:f>
        <x:v>F</x:v>
      </x:c>
      <x:c r="C16" t="str">
        <x:f>'Все позиции'!C10</x:f>
        <x:v>00044215/MAT/26/F</x:v>
      </x:c>
      <x:c r="D16" t="str">
        <x:f>'Все позиции'!S10</x:f>
        <x:v>Автохимия</x:v>
      </x:c>
      <x:c r="E16" t="str">
        <x:f>'Все позиции'!F10</x:f>
        <x:v>090508 Preparat do klimatyzacji</x:v>
      </x:c>
      <x:c r="F16" t="str">
        <x:f>'Все позиции'!G10</x:f>
        <x:v>MOTIP</x:v>
      </x:c>
      <x:c r="G16" s="3" t="n">
        <x:f>'Все позиции'!H10</x:f>
        <x:v>2</x:v>
      </x:c>
      <x:c r="H16" s="4" t="n">
        <x:f>'Все позиции'!I10</x:f>
        <x:v>39.07</x:v>
      </x:c>
      <x:c r="I16" s="4" t="n">
        <x:f>'Все позиции'!K10</x:f>
        <x:v>78.14</x:v>
      </x:c>
      <x:c r="J16" s="4" t="n">
        <x:f>'Все позиции'!M10</x:f>
        <x:v>17.97</x:v>
      </x:c>
      <x:c r="K16" s="4" t="n">
        <x:f>'Все позиции'!N10</x:f>
        <x:v>96.11</x:v>
      </x:c>
      <x:c r="L16" t="str">
        <x:f>'Все позиции'!P10</x:f>
        <x:v>Sales confirmation for document 44215(1).pdf</x:v>
      </x:c>
    </x:row>
    <x:row r="17">
      <x:c r="A17" s="1" t="n">
        <x:f>'Все позиции'!A11</x:f>
        <x:v>46240</x:v>
      </x:c>
      <x:c r="B17" t="str">
        <x:f>'Все позиции'!B11</x:f>
        <x:v>F</x:v>
      </x:c>
      <x:c r="C17" t="str">
        <x:f>'Все позиции'!C11</x:f>
        <x:v>00044215/MAT/26/F</x:v>
      </x:c>
      <x:c r="D17" t="str">
        <x:f>'Все позиции'!S11</x:f>
        <x:v>Автохимия</x:v>
      </x:c>
      <x:c r="E17" t="str">
        <x:f>'Все позиции'!F11</x:f>
        <x:v>MA 19-092 Preparat do odgrzybiania typu "granat"</x:v>
      </x:c>
      <x:c r="F17" t="str">
        <x:f>'Все позиции'!G11</x:f>
        <x:v>MOJE AUTO</x:v>
      </x:c>
      <x:c r="G17" s="3" t="n">
        <x:f>'Все позиции'!H11</x:f>
        <x:v>2</x:v>
      </x:c>
      <x:c r="H17" s="4" t="n">
        <x:f>'Все позиции'!I11</x:f>
        <x:v>17.99</x:v>
      </x:c>
      <x:c r="I17" s="4" t="n">
        <x:f>'Все позиции'!K11</x:f>
        <x:v>35.98</x:v>
      </x:c>
      <x:c r="J17" s="4" t="n">
        <x:f>'Все позиции'!M11</x:f>
        <x:v>2.88</x:v>
      </x:c>
      <x:c r="K17" s="4" t="n">
        <x:f>'Все позиции'!N11</x:f>
        <x:v>38.86</x:v>
      </x:c>
      <x:c r="L17" t="str">
        <x:f>'Все позиции'!P11</x:f>
        <x:v>Sales confirmation for document 44215(1).pdf</x:v>
      </x:c>
    </x:row>
    <x:row r="18">
      <x:c r="A18" s="1" t="n">
        <x:f>'Все позиции'!A18</x:f>
        <x:v>46241</x:v>
      </x:c>
      <x:c r="B18" t="str">
        <x:f>'Все позиции'!B18</x:f>
        <x:v>F</x:v>
      </x:c>
      <x:c r="C18" t="str">
        <x:f>'Все позиции'!C18</x:f>
        <x:v>00044357/MAT/26/F</x:v>
      </x:c>
      <x:c r="D18" t="str">
        <x:f>'Все позиции'!S18</x:f>
        <x:v>Моторное масло</x:v>
      </x:c>
      <x:c r="E18" t="str">
        <x:f>'Все позиции'!F18</x:f>
        <x:v>SYNPOWER ENVC2/C3 5W30 1L Olej silnikowy</x:v>
      </x:c>
      <x:c r="F18" t="str">
        <x:f>'Все позиции'!G18</x:f>
        <x:v>VALVOLINE</x:v>
      </x:c>
      <x:c r="G18" s="3" t="n">
        <x:f>'Все позиции'!H18</x:f>
        <x:v>1</x:v>
      </x:c>
      <x:c r="H18" s="4" t="n">
        <x:f>'Все позиции'!I18</x:f>
        <x:v>42.9</x:v>
      </x:c>
      <x:c r="I18" s="4" t="n">
        <x:f>'Все позиции'!K18</x:f>
        <x:v>42.9</x:v>
      </x:c>
      <x:c r="J18" s="4" t="n">
        <x:f>'Все позиции'!M18</x:f>
        <x:v>9.87</x:v>
      </x:c>
      <x:c r="K18" s="4" t="n">
        <x:f>'Все позиции'!N18</x:f>
        <x:v>52.769999999999996</x:v>
      </x:c>
      <x:c r="L18" t="str">
        <x:f>'Все позиции'!P18</x:f>
        <x:v>Sales confirmation for document 44357(1).pdf</x:v>
      </x:c>
    </x:row>
    <x:row r="19">
      <x:c r="A19" s="1" t="n">
        <x:f>'Все позиции'!A19</x:f>
        <x:v>46241</x:v>
      </x:c>
      <x:c r="B19" t="str">
        <x:f>'Все позиции'!B19</x:f>
        <x:v>F</x:v>
      </x:c>
      <x:c r="C19" t="str">
        <x:f>'Все позиции'!C19</x:f>
        <x:v>00044357/MAT/26/F</x:v>
      </x:c>
      <x:c r="D19" t="str">
        <x:f>'Все позиции'!S19</x:f>
        <x:v>Моторное масло</x:v>
      </x:c>
      <x:c r="E19" t="str">
        <x:f>'Все позиции'!F19</x:f>
        <x:v>SYNPOWER ENVC2/C3 5W30 5L Olej silnikowy</x:v>
      </x:c>
      <x:c r="F19" t="str">
        <x:f>'Все позиции'!G19</x:f>
        <x:v>VALVOLINE</x:v>
      </x:c>
      <x:c r="G19" s="3" t="n">
        <x:f>'Все позиции'!H19</x:f>
        <x:v>1</x:v>
      </x:c>
      <x:c r="H19" s="4" t="n">
        <x:f>'Все позиции'!I19</x:f>
        <x:v>184.52</x:v>
      </x:c>
      <x:c r="I19" s="4" t="n">
        <x:f>'Все позиции'!K19</x:f>
        <x:v>184.52</x:v>
      </x:c>
      <x:c r="J19" s="4" t="n">
        <x:f>'Все позиции'!M19</x:f>
        <x:v>42.43</x:v>
      </x:c>
      <x:c r="K19" s="4" t="n">
        <x:f>'Все позиции'!N19</x:f>
        <x:v>226.95000000000002</x:v>
      </x:c>
      <x:c r="L19" t="str">
        <x:f>'Все позиции'!P19</x:f>
        <x:v>Sales confirmation for document 44357(1).pdf</x:v>
      </x:c>
    </x:row>
    <x:row r="20">
      <x:c r="A20" s="1" t="n">
        <x:f>'Все позиции'!A24</x:f>
        <x:v>46244</x:v>
      </x:c>
      <x:c r="B20" t="str">
        <x:f>'Все позиции'!B24</x:f>
        <x:v>F</x:v>
      </x:c>
      <x:c r="C20" t="str">
        <x:f>'Все позиции'!C24</x:f>
        <x:v>00044771/MAT/26/F</x:v>
      </x:c>
      <x:c r="D20" t="str">
        <x:f>'Все позиции'!S24</x:f>
        <x:v>Автохимия</x:v>
      </x:c>
      <x:c r="E20" t="str">
        <x:f>'Все позиции'!F24</x:f>
        <x:v>MA 20-A32 1L Preparat do silnika</x:v>
      </x:c>
      <x:c r="F20" t="str">
        <x:f>'Все позиции'!G24</x:f>
        <x:v>MA</x:v>
      </x:c>
      <x:c r="G20" s="3" t="n">
        <x:f>'Все позиции'!H24</x:f>
        <x:v>1</x:v>
      </x:c>
      <x:c r="H20" s="4" t="n">
        <x:f>'Все позиции'!I24</x:f>
        <x:v>15.95</x:v>
      </x:c>
      <x:c r="I20" s="4" t="n">
        <x:f>'Все позиции'!K24</x:f>
        <x:v>15.95</x:v>
      </x:c>
      <x:c r="J20" s="4" t="n">
        <x:f>'Все позиции'!M24</x:f>
        <x:v>3.67</x:v>
      </x:c>
      <x:c r="K20" s="4" t="n">
        <x:f>'Все позиции'!N24</x:f>
        <x:v>19.619999999999997</x:v>
      </x:c>
      <x:c r="L20" t="str">
        <x:f>'Все позиции'!P24</x:f>
        <x:v>Sales confirmation for document 44771(1).pdf</x:v>
      </x:c>
    </x:row>
    <x:row r="21">
      <x:c r="A21" s="1" t="n">
        <x:f>'Все позиции'!A26</x:f>
        <x:v>46244</x:v>
      </x:c>
      <x:c r="B21" t="str">
        <x:f>'Все позиции'!B26</x:f>
        <x:v>F</x:v>
      </x:c>
      <x:c r="C21" t="str">
        <x:f>'Все позиции'!C26</x:f>
        <x:v>00044771/MAT/26/F</x:v>
      </x:c>
      <x:c r="D21" t="str">
        <x:f>'Все позиции'!S26</x:f>
        <x:v>Моторное масло</x:v>
      </x:c>
      <x:c r="E21" t="str">
        <x:f>'Все позиции'!F26</x:f>
        <x:v>M-SUP 3000 XE 5W30 4L Olej silnikowy</x:v>
      </x:c>
      <x:c r="F21" t="str">
        <x:f>'Все позиции'!G26</x:f>
        <x:v>MOBIL</x:v>
      </x:c>
      <x:c r="G21" s="3" t="n">
        <x:f>'Все позиции'!H26</x:f>
        <x:v>1</x:v>
      </x:c>
      <x:c r="H21" s="4" t="n">
        <x:f>'Все позиции'!I26</x:f>
        <x:v>119.54</x:v>
      </x:c>
      <x:c r="I21" s="4" t="n">
        <x:f>'Все позиции'!K26</x:f>
        <x:v>119.54</x:v>
      </x:c>
      <x:c r="J21" s="4" t="n">
        <x:f>'Все позиции'!M26</x:f>
        <x:v>27.49</x:v>
      </x:c>
      <x:c r="K21" s="4" t="n">
        <x:f>'Все позиции'!N26</x:f>
        <x:v>147.03</x:v>
      </x:c>
      <x:c r="L21" t="str">
        <x:f>'Все позиции'!P26</x:f>
        <x:v>Sales confirmation for document 44771(1).pdf</x:v>
      </x:c>
    </x:row>
    <x:row r="22">
      <x:c r="A22" s="1" t="n">
        <x:f>'Все позиции'!A28</x:f>
        <x:v>46244</x:v>
      </x:c>
      <x:c r="B22" t="str">
        <x:f>'Все позиции'!B28</x:f>
        <x:v>F</x:v>
      </x:c>
      <x:c r="C22" t="str">
        <x:f>'Все позиции'!C28</x:f>
        <x:v>00044771/MAT/26/F</x:v>
      </x:c>
      <x:c r="D22" t="str">
        <x:f>'Все позиции'!S28</x:f>
        <x:v>Автохимия</x:v>
      </x:c>
      <x:c r="E22" t="str">
        <x:f>'Все позиции'!F28</x:f>
        <x:v>MA 20-A25 Preparat do wykrywania nieszczelności</x:v>
      </x:c>
      <x:c r="F22" t="str">
        <x:f>'Все позиции'!G28</x:f>
        <x:v>MA</x:v>
      </x:c>
      <x:c r="G22" s="3" t="n">
        <x:f>'Все позиции'!H28</x:f>
        <x:v>1</x:v>
      </x:c>
      <x:c r="H22" s="4" t="n">
        <x:f>'Все позиции'!I28</x:f>
        <x:v>24.93</x:v>
      </x:c>
      <x:c r="I22" s="4" t="n">
        <x:f>'Все позиции'!K28</x:f>
        <x:v>24.93</x:v>
      </x:c>
      <x:c r="J22" s="4" t="n">
        <x:f>'Все позиции'!M28</x:f>
        <x:v>5.73</x:v>
      </x:c>
      <x:c r="K22" s="4" t="n">
        <x:f>'Все позиции'!N28</x:f>
        <x:v>30.66</x:v>
      </x:c>
      <x:c r="L22" t="str">
        <x:f>'Все позиции'!P28</x:f>
        <x:v>Sales confirmation for document 44771(1).pdf</x:v>
      </x:c>
    </x:row>
    <x:row r="23">
      <x:c r="A23" s="1" t="n">
        <x:f>'Все позиции'!A34</x:f>
        <x:v>46244</x:v>
      </x:c>
      <x:c r="B23" t="str">
        <x:f>'Все позиции'!B34</x:f>
        <x:v>F</x:v>
      </x:c>
      <x:c r="C23" t="str">
        <x:f>'Все позиции'!C34</x:f>
        <x:v>00044771/MAT/26/F</x:v>
      </x:c>
      <x:c r="D23" t="str">
        <x:f>'Все позиции'!S34</x:f>
        <x:v>Автохимия</x:v>
      </x:c>
      <x:c r="E23" t="str">
        <x:f>'Все позиции'!F34</x:f>
        <x:v>MA 20-A06 Zmywacz do hamulców</x:v>
      </x:c>
      <x:c r="F23" t="str">
        <x:f>'Все позиции'!G34</x:f>
        <x:v>MA</x:v>
      </x:c>
      <x:c r="G23" s="3" t="n">
        <x:f>'Все позиции'!H34</x:f>
        <x:v>1</x:v>
      </x:c>
      <x:c r="H23" s="4" t="n">
        <x:f>'Все позиции'!I34</x:f>
        <x:v>71.7</x:v>
      </x:c>
      <x:c r="I23" s="4" t="n">
        <x:f>'Все позиции'!K34</x:f>
        <x:v>71.7</x:v>
      </x:c>
      <x:c r="J23" s="4" t="n">
        <x:f>'Все позиции'!M34</x:f>
        <x:v>16.49</x:v>
      </x:c>
      <x:c r="K23" s="4" t="n">
        <x:f>'Все позиции'!N34</x:f>
        <x:v>88.19</x:v>
      </x:c>
      <x:c r="L23" t="str">
        <x:f>'Все позиции'!P34</x:f>
        <x:v>Sales confirmation for document 44771(1).pdf</x:v>
      </x:c>
    </x:row>
    <x:row r="24">
      <x:c r="A24" s="1" t="n">
        <x:f>'Все позиции'!A35</x:f>
        <x:v>46244</x:v>
      </x:c>
      <x:c r="B24" t="str">
        <x:f>'Все позиции'!B35</x:f>
        <x:v>F</x:v>
      </x:c>
      <x:c r="C24" t="str">
        <x:f>'Все позиции'!C35</x:f>
        <x:v>00044771/MAT/26/F</x:v>
      </x:c>
      <x:c r="D24" t="str">
        <x:f>'Все позиции'!S35</x:f>
        <x:v>Моторное масло</x:v>
      </x:c>
      <x:c r="E24" t="str">
        <x:f>'Все позиции'!F35</x:f>
        <x:v>SYNPOWER JL C5 0W20 5L Olej silnikowy SYNPOWER (5L)</x:v>
      </x:c>
      <x:c r="F24" t="str">
        <x:f>'Все позиции'!G35</x:f>
        <x:v>VALVOLINE</x:v>
      </x:c>
      <x:c r="G24" s="3" t="n">
        <x:f>'Все позиции'!H35</x:f>
        <x:v>1</x:v>
      </x:c>
      <x:c r="H24" s="4" t="n">
        <x:f>'Все позиции'!I35</x:f>
        <x:v>209.08</x:v>
      </x:c>
      <x:c r="I24" s="4" t="n">
        <x:f>'Все позиции'!K35</x:f>
        <x:v>209.08</x:v>
      </x:c>
      <x:c r="J24" s="4" t="n">
        <x:f>'Все позиции'!M35</x:f>
        <x:v>48.09</x:v>
      </x:c>
      <x:c r="K24" s="4" t="n">
        <x:f>'Все позиции'!N35</x:f>
        <x:v>257.17</x:v>
      </x:c>
      <x:c r="L24" t="str">
        <x:f>'Все позиции'!P35</x:f>
        <x:v>Sales confirmation for document 44771(1).pdf</x:v>
      </x:c>
    </x:row>
    <x:row r="25">
      <x:c r="A25" s="1" t="n">
        <x:f>'Все позиции'!A37</x:f>
        <x:v>46244</x:v>
      </x:c>
      <x:c r="B25" t="str">
        <x:f>'Все позиции'!B37</x:f>
        <x:v>F</x:v>
      </x:c>
      <x:c r="C25" t="str">
        <x:f>'Все позиции'!C37</x:f>
        <x:v>00044771/MAT/26/F</x:v>
      </x:c>
      <x:c r="D25" t="str">
        <x:f>'Все позиции'!S37</x:f>
        <x:v>Охлаждающая жидкость</x:v>
      </x:c>
      <x:c r="E25" t="str">
        <x:f>'Все позиции'!F37</x:f>
        <x:v>KTT G12+ 5L RTU SET Płyn do chłodnic (typ płynu</x:v>
      </x:c>
      <x:c r="F25" t="str">
        <x:f>'Все позиции'!G37</x:f>
        <x:v>THERMOTEC COOLANTS</x:v>
      </x:c>
      <x:c r="G25" s="3" t="n">
        <x:f>'Все позиции'!H37</x:f>
        <x:v>1</x:v>
      </x:c>
      <x:c r="H25" s="4" t="n">
        <x:f>'Все позиции'!I37</x:f>
        <x:v>118</x:v>
      </x:c>
      <x:c r="I25" s="4" t="n">
        <x:f>'Все позиции'!K37</x:f>
        <x:v>118</x:v>
      </x:c>
      <x:c r="J25" s="4" t="n">
        <x:f>'Все позиции'!M37</x:f>
        <x:v>27.14</x:v>
      </x:c>
      <x:c r="K25" s="4" t="n">
        <x:f>'Все позиции'!N37</x:f>
        <x:v>145.14</x:v>
      </x:c>
      <x:c r="L25" t="str">
        <x:f>'Все позиции'!P37</x:f>
        <x:v>Sales confirmation for document 44771(1).pdf</x:v>
      </x:c>
    </x:row>
    <x:row r="26">
      <x:c r="A26" s="1" t="n">
        <x:f>'Все позиции'!A38</x:f>
        <x:v>46244</x:v>
      </x:c>
      <x:c r="B26" t="str">
        <x:f>'Все позиции'!B38</x:f>
        <x:v>F</x:v>
      </x:c>
      <x:c r="C26" t="str">
        <x:f>'Все позиции'!C38</x:f>
        <x:v>00044771/MAT/26/F</x:v>
      </x:c>
      <x:c r="D26" t="str">
        <x:f>'Все позиции'!S38</x:f>
        <x:v>СИЗ и материалы</x:v>
      </x:c>
      <x:c r="E26" t="str">
        <x:f>'Все позиции'!F38</x:f>
        <x:v>4932493235 Rękawice ochronne</x:v>
      </x:c>
      <x:c r="F26" t="str">
        <x:f>'Все позиции'!G38</x:f>
        <x:v>MILWAUKEE</x:v>
      </x:c>
      <x:c r="G26" s="3" t="n">
        <x:f>'Все позиции'!H38</x:f>
        <x:v>1</x:v>
      </x:c>
      <x:c r="H26" s="4" t="n">
        <x:f>'Все позиции'!I38</x:f>
        <x:v>44.14</x:v>
      </x:c>
      <x:c r="I26" s="4" t="n">
        <x:f>'Все позиции'!K38</x:f>
        <x:v>44.14</x:v>
      </x:c>
      <x:c r="J26" s="4" t="n">
        <x:f>'Все позиции'!M38</x:f>
        <x:v>10.15</x:v>
      </x:c>
      <x:c r="K26" s="4" t="n">
        <x:f>'Все позиции'!N38</x:f>
        <x:v>54.29</x:v>
      </x:c>
      <x:c r="L26" t="str">
        <x:f>'Все позиции'!P38</x:f>
        <x:v>Sales confirmation for document 44771(1).pdf</x:v>
      </x:c>
    </x:row>
    <x:row r="27">
      <x:c r="A27" s="1" t="n">
        <x:f>'Все позиции'!A40</x:f>
        <x:v>46244</x:v>
      </x:c>
      <x:c r="B27" t="str">
        <x:f>'Все позиции'!B40</x:f>
        <x:v>F</x:v>
      </x:c>
      <x:c r="C27" t="str">
        <x:f>'Все позиции'!C40</x:f>
        <x:v>00044771/MAT/26/F</x:v>
      </x:c>
      <x:c r="D27" t="str">
        <x:f>'Все позиции'!S40</x:f>
        <x:v>Моторное масло</x:v>
      </x:c>
      <x:c r="E27" t="str">
        <x:f>'Все позиции'!F40</x:f>
        <x:v>SYNPOWER ENVC2/C3 5W30 1L Olej silnikowy</x:v>
      </x:c>
      <x:c r="F27" t="str">
        <x:f>'Все позиции'!G40</x:f>
        <x:v>VALVOLINE</x:v>
      </x:c>
      <x:c r="G27" s="3" t="n">
        <x:f>'Все позиции'!H40</x:f>
        <x:v>2</x:v>
      </x:c>
      <x:c r="H27" s="4" t="n">
        <x:f>'Все позиции'!I40</x:f>
        <x:v>42.9</x:v>
      </x:c>
      <x:c r="I27" s="4" t="n">
        <x:f>'Все позиции'!K40</x:f>
        <x:v>85.8</x:v>
      </x:c>
      <x:c r="J27" s="4" t="n">
        <x:f>'Все позиции'!M40</x:f>
        <x:v>19.73</x:v>
      </x:c>
      <x:c r="K27" s="4" t="n">
        <x:f>'Все позиции'!N40</x:f>
        <x:v>105.53</x:v>
      </x:c>
      <x:c r="L27" t="str">
        <x:f>'Все позиции'!P40</x:f>
        <x:v>Sales confirmation for document 44771(1).pdf</x:v>
      </x:c>
    </x:row>
    <x:row r="28">
      <x:c r="A28" s="1" t="n">
        <x:f>'Все позиции'!A41</x:f>
        <x:v>46244</x:v>
      </x:c>
      <x:c r="B28" t="str">
        <x:f>'Все позиции'!B41</x:f>
        <x:v>F</x:v>
      </x:c>
      <x:c r="C28" t="str">
        <x:f>'Все позиции'!C41</x:f>
        <x:v>00044771/MAT/26/F</x:v>
      </x:c>
      <x:c r="D28" t="str">
        <x:f>'Все позиции'!S41</x:f>
        <x:v>Моторное масло</x:v>
      </x:c>
      <x:c r="E28" t="str">
        <x:f>'Все позиции'!F41</x:f>
        <x:v>SYNPOWER ENVC2/C3 5W30 5L Olej silnikowy</x:v>
      </x:c>
      <x:c r="F28" t="str">
        <x:f>'Все позиции'!G41</x:f>
        <x:v>VALVOLINE</x:v>
      </x:c>
      <x:c r="G28" s="3" t="n">
        <x:f>'Все позиции'!H41</x:f>
        <x:v>1</x:v>
      </x:c>
      <x:c r="H28" s="4" t="n">
        <x:f>'Все позиции'!I41</x:f>
        <x:v>184.52</x:v>
      </x:c>
      <x:c r="I28" s="4" t="n">
        <x:f>'Все позиции'!K41</x:f>
        <x:v>184.52</x:v>
      </x:c>
      <x:c r="J28" s="4" t="n">
        <x:f>'Все позиции'!M41</x:f>
        <x:v>42.44</x:v>
      </x:c>
      <x:c r="K28" s="4" t="n">
        <x:f>'Все позиции'!N41</x:f>
        <x:v>226.96</x:v>
      </x:c>
      <x:c r="L28" t="str">
        <x:f>'Все позиции'!P41</x:f>
        <x:v>Sales confirmation for document 44771(1).pdf</x:v>
      </x:c>
    </x:row>
    <x:row r="29">
      <x:c r="A29" s="1" t="n">
        <x:f>'Все позиции'!A55</x:f>
        <x:v>46251</x:v>
      </x:c>
      <x:c r="B29" t="str">
        <x:f>'Все позиции'!B55</x:f>
        <x:v>F</x:v>
      </x:c>
      <x:c r="C29" t="str">
        <x:f>'Все позиции'!C55</x:f>
        <x:v>00046048/MAT/26/F</x:v>
      </x:c>
      <x:c r="D29" t="str">
        <x:f>'Все позиции'!S55</x:f>
        <x:v>Моторное масло</x:v>
      </x:c>
      <x:c r="E29" t="str">
        <x:f>'Все позиции'!F55</x:f>
        <x:v>8100 X-CLEAN+ 5W30 5L Olej silnikowy</x:v>
      </x:c>
      <x:c r="F29" t="str">
        <x:f>'Все позиции'!G55</x:f>
        <x:v>MOTUL</x:v>
      </x:c>
      <x:c r="G29" s="3" t="n">
        <x:f>'Все позиции'!H55</x:f>
        <x:v>1</x:v>
      </x:c>
      <x:c r="H29" s="4" t="n">
        <x:f>'Все позиции'!I55</x:f>
        <x:v>238.44</x:v>
      </x:c>
      <x:c r="I29" s="4" t="n">
        <x:f>'Все позиции'!K55</x:f>
        <x:v>238.44</x:v>
      </x:c>
      <x:c r="J29" s="4" t="n">
        <x:f>'Все позиции'!M55</x:f>
        <x:v>54.84</x:v>
      </x:c>
      <x:c r="K29" s="4" t="n">
        <x:f>'Все позиции'!N55</x:f>
        <x:v>293.28</x:v>
      </x:c>
      <x:c r="L29" t="str">
        <x:f>'Все позиции'!P55</x:f>
        <x:v>Sales confirmation for document 46048.pdf</x:v>
      </x:c>
    </x:row>
    <x:row r="30">
      <x:c r="A30" s="1" t="n">
        <x:f>'Все позиции'!A64</x:f>
        <x:v>46252</x:v>
      </x:c>
      <x:c r="B30" t="str">
        <x:f>'Все позиции'!B64</x:f>
        <x:v>F</x:v>
      </x:c>
      <x:c r="C30" t="str">
        <x:f>'Все позиции'!C64</x:f>
        <x:v>00046369/MAT/26/F</x:v>
      </x:c>
      <x:c r="D30" t="str">
        <x:f>'Все позиции'!S64</x:f>
        <x:v>Моторное масло</x:v>
      </x:c>
      <x:c r="E30" t="str">
        <x:f>'Все позиции'!F64</x:f>
        <x:v>8100 X-CLEAN 5W40 C3 5L Olej silnikowy</x:v>
      </x:c>
      <x:c r="F30" t="str">
        <x:f>'Все позиции'!G64</x:f>
        <x:v>MOTUL</x:v>
      </x:c>
      <x:c r="G30" s="3" t="n">
        <x:f>'Все позиции'!H64</x:f>
        <x:v>1</x:v>
      </x:c>
      <x:c r="H30" s="4" t="n">
        <x:f>'Все позиции'!I64</x:f>
        <x:v>184.06</x:v>
      </x:c>
      <x:c r="I30" s="4" t="n">
        <x:f>'Все позиции'!K64</x:f>
        <x:v>184.06</x:v>
      </x:c>
      <x:c r="J30" s="4" t="n">
        <x:f>'Все позиции'!M64</x:f>
        <x:v>42.33</x:v>
      </x:c>
      <x:c r="K30" s="4" t="n">
        <x:f>'Все позиции'!N64</x:f>
        <x:v>226.39</x:v>
      </x:c>
      <x:c r="L30" t="str">
        <x:f>'Все позиции'!P64</x:f>
        <x:v>Sales confirmation for document 46369.pdf</x:v>
      </x:c>
    </x:row>
    <x:row r="31">
      <x:c r="A31" s="1" t="n">
        <x:f>'Все позиции'!A66</x:f>
        <x:v>46252</x:v>
      </x:c>
      <x:c r="B31" t="str">
        <x:f>'Все позиции'!B66</x:f>
        <x:v>F</x:v>
      </x:c>
      <x:c r="C31" t="str">
        <x:f>'Все позиции'!C66</x:f>
        <x:v>00046369/MAT/26/F</x:v>
      </x:c>
      <x:c r="D31" t="str">
        <x:f>'Все позиции'!S66</x:f>
        <x:v>Моторное масло</x:v>
      </x:c>
      <x:c r="E31" t="str">
        <x:f>'Все позиции'!F66</x:f>
        <x:v>QUARTZ 5W30 I. MC3 5L Olej silnikowy</x:v>
      </x:c>
      <x:c r="F31" t="str">
        <x:f>'Все позиции'!G66</x:f>
        <x:v>TOTALENERGIES</x:v>
      </x:c>
      <x:c r="G31" s="3" t="n">
        <x:f>'Все позиции'!H66</x:f>
        <x:v>1</x:v>
      </x:c>
      <x:c r="H31" s="4" t="n">
        <x:f>'Все позиции'!I66</x:f>
        <x:v>150.82</x:v>
      </x:c>
      <x:c r="I31" s="4" t="n">
        <x:f>'Все позиции'!K66</x:f>
        <x:v>150.82</x:v>
      </x:c>
      <x:c r="J31" s="4" t="n">
        <x:f>'Все позиции'!M66</x:f>
        <x:v>34.69</x:v>
      </x:c>
      <x:c r="K31" s="4" t="n">
        <x:f>'Все позиции'!N66</x:f>
        <x:v>185.51</x:v>
      </x:c>
      <x:c r="L31" t="str">
        <x:f>'Все позиции'!P66</x:f>
        <x:v>Sales confirmation for document 46369.pdf</x:v>
      </x:c>
    </x:row>
    <x:row r="32">
      <x:c r="A32" s="1" t="n">
        <x:f>'Все позиции'!A67</x:f>
        <x:v>46252</x:v>
      </x:c>
      <x:c r="B32" t="str">
        <x:f>'Все позиции'!B67</x:f>
        <x:v>F</x:v>
      </x:c>
      <x:c r="C32" t="str">
        <x:f>'Все позиции'!C67</x:f>
        <x:v>00046369/MAT/26/F</x:v>
      </x:c>
      <x:c r="D32" t="str">
        <x:f>'Все позиции'!S67</x:f>
        <x:v>Моторное масло</x:v>
      </x:c>
      <x:c r="E32" t="str">
        <x:f>'Все позиции'!F67</x:f>
        <x:v>QUARTZ 5W30 I. MC3 1L Olej silnikowy</x:v>
      </x:c>
      <x:c r="F32" t="str">
        <x:f>'Все позиции'!G67</x:f>
        <x:v>TOTALENERGIES</x:v>
      </x:c>
      <x:c r="G32" s="3" t="n">
        <x:f>'Все позиции'!H67</x:f>
        <x:v>1</x:v>
      </x:c>
      <x:c r="H32" s="4" t="n">
        <x:f>'Все позиции'!I67</x:f>
        <x:v>38.58</x:v>
      </x:c>
      <x:c r="I32" s="4" t="n">
        <x:f>'Все позиции'!K67</x:f>
        <x:v>38.58</x:v>
      </x:c>
      <x:c r="J32" s="4" t="n">
        <x:f>'Все позиции'!M67</x:f>
        <x:v>8.87</x:v>
      </x:c>
      <x:c r="K32" s="4" t="n">
        <x:f>'Все позиции'!N67</x:f>
        <x:v>47.449999999999996</x:v>
      </x:c>
      <x:c r="L32" t="str">
        <x:f>'Все позиции'!P67</x:f>
        <x:v>Sales confirmation for document 46369.pdf</x:v>
      </x:c>
    </x:row>
    <x:row r="33">
      <x:c r="A33" s="1" t="n">
        <x:f>'Все позиции'!A69</x:f>
        <x:v>46252</x:v>
      </x:c>
      <x:c r="B33" t="str">
        <x:f>'Все позиции'!B69</x:f>
        <x:v>F</x:v>
      </x:c>
      <x:c r="C33" t="str">
        <x:f>'Все позиции'!C69</x:f>
        <x:v>00046369/MAT/26/F</x:v>
      </x:c>
      <x:c r="D33" t="str">
        <x:f>'Все позиции'!S69</x:f>
        <x:v>Охлаждающая жидкость</x:v>
      </x:c>
      <x:c r="E33" t="str">
        <x:f>'Все позиции'!F69</x:f>
        <x:v>VAL MV COOLANT RTU 1L Płyn do chłodnic (1L), żółty,</x:v>
      </x:c>
      <x:c r="F33" t="str">
        <x:f>'Все позиции'!G69</x:f>
        <x:v>VALVOLINE</x:v>
      </x:c>
      <x:c r="G33" s="3" t="n">
        <x:f>'Все позиции'!H69</x:f>
        <x:v>1</x:v>
      </x:c>
      <x:c r="H33" s="4" t="n">
        <x:f>'Все позиции'!I69</x:f>
        <x:v>26.72</x:v>
      </x:c>
      <x:c r="I33" s="4" t="n">
        <x:f>'Все позиции'!K69</x:f>
        <x:v>26.72</x:v>
      </x:c>
      <x:c r="J33" s="4" t="n">
        <x:f>'Все позиции'!M69</x:f>
        <x:v>6.15</x:v>
      </x:c>
      <x:c r="K33" s="4" t="n">
        <x:f>'Все позиции'!N69</x:f>
        <x:v>32.87</x:v>
      </x:c>
      <x:c r="L33" t="str">
        <x:f>'Все позиции'!P69</x:f>
        <x:v>Sales confirmation for document 46369.pdf</x:v>
      </x:c>
    </x:row>
    <x:row r="34">
      <x:c r="A34" s="1" t="n">
        <x:f>'Все позиции'!A70</x:f>
        <x:v>46252</x:v>
      </x:c>
      <x:c r="B34" t="str">
        <x:f>'Все позиции'!B70</x:f>
        <x:v>F</x:v>
      </x:c>
      <x:c r="C34" t="str">
        <x:f>'Все позиции'!C70</x:f>
        <x:v>00046369/MAT/26/F</x:v>
      </x:c>
      <x:c r="D34" t="str">
        <x:f>'Все позиции'!S70</x:f>
        <x:v>Охлаждающая жидкость</x:v>
      </x:c>
      <x:c r="E34" t="str">
        <x:f>'Все позиции'!F70</x:f>
        <x:v>VAL MV COOLANT RTU 5L Płyn do chłodnic (5L), żółty,</x:v>
      </x:c>
      <x:c r="F34" t="str">
        <x:f>'Все позиции'!G70</x:f>
        <x:v>VALVOLINE</x:v>
      </x:c>
      <x:c r="G34" s="3" t="n">
        <x:f>'Все позиции'!H70</x:f>
        <x:v>1</x:v>
      </x:c>
      <x:c r="H34" s="4" t="n">
        <x:f>'Все позиции'!I70</x:f>
        <x:v>117.83</x:v>
      </x:c>
      <x:c r="I34" s="4" t="n">
        <x:f>'Все позиции'!K70</x:f>
        <x:v>117.83</x:v>
      </x:c>
      <x:c r="J34" s="4" t="n">
        <x:f>'Все позиции'!M70</x:f>
        <x:v>27.09</x:v>
      </x:c>
      <x:c r="K34" s="4" t="n">
        <x:f>'Все позиции'!N70</x:f>
        <x:v>144.92</x:v>
      </x:c>
      <x:c r="L34" t="str">
        <x:f>'Все позиции'!P70</x:f>
        <x:v>Sales confirmation for document 46369.pdf</x:v>
      </x:c>
    </x:row>
    <x:row r="35">
      <x:c r="A35" s="1" t="n">
        <x:f>'Все позиции'!A90</x:f>
        <x:v>46254</x:v>
      </x:c>
      <x:c r="B35" t="str">
        <x:f>'Все позиции'!B90</x:f>
        <x:v>F</x:v>
      </x:c>
      <x:c r="C35" t="str">
        <x:f>'Все позиции'!C90</x:f>
        <x:v>00046931/MAT/26/F</x:v>
      </x:c>
      <x:c r="D35" t="str">
        <x:f>'Все позиции'!S90</x:f>
        <x:v>Моторное масло</x:v>
      </x:c>
      <x:c r="E35" t="str">
        <x:f>'Все позиции'!F90</x:f>
        <x:v>8100 X-CLEAN+ 5W30 5L Olej silnikowy</x:v>
      </x:c>
      <x:c r="F35" t="str">
        <x:f>'Все позиции'!G90</x:f>
        <x:v>MOTUL</x:v>
      </x:c>
      <x:c r="G35" s="3" t="n">
        <x:f>'Все позиции'!H90</x:f>
        <x:v>1</x:v>
      </x:c>
      <x:c r="H35" s="4" t="n">
        <x:f>'Все позиции'!I90</x:f>
        <x:v>212.52</x:v>
      </x:c>
      <x:c r="I35" s="4" t="n">
        <x:f>'Все позиции'!K90</x:f>
        <x:v>212.52</x:v>
      </x:c>
      <x:c r="J35" s="4" t="n">
        <x:f>'Все позиции'!M90</x:f>
        <x:v>48.88</x:v>
      </x:c>
      <x:c r="K35" s="4" t="n">
        <x:f>'Все позиции'!N90</x:f>
        <x:v>261.40000000000003</x:v>
      </x:c>
      <x:c r="L35" t="str">
        <x:f>'Все позиции'!P90</x:f>
        <x:v>Sales confirmation for document 46931.pdf</x:v>
      </x:c>
    </x:row>
    <x:row r="36">
      <x:c r="A36" s="1" t="n">
        <x:f>'Все позиции'!A110</x:f>
        <x:v>46258</x:v>
      </x:c>
      <x:c r="B36" t="str">
        <x:f>'Все позиции'!B110</x:f>
        <x:v>F</x:v>
      </x:c>
      <x:c r="C36" t="str">
        <x:f>'Все позиции'!C110</x:f>
        <x:v>00047255/MAT/26/F</x:v>
      </x:c>
      <x:c r="D36" t="str">
        <x:f>'Все позиции'!S110</x:f>
        <x:v>Моторное масло</x:v>
      </x:c>
      <x:c r="E36" t="str">
        <x:f>'Все позиции'!F110</x:f>
        <x:v>8100 ECO-LITE 0W16 5L Olej silnikowy</x:v>
      </x:c>
      <x:c r="F36" t="str">
        <x:f>'Все позиции'!G110</x:f>
        <x:v>MOTUL</x:v>
      </x:c>
      <x:c r="G36" s="3" t="n">
        <x:f>'Все позиции'!H110</x:f>
        <x:v>1</x:v>
      </x:c>
      <x:c r="H36" s="4" t="n">
        <x:f>'Все позиции'!I110</x:f>
        <x:v>274.14</x:v>
      </x:c>
      <x:c r="I36" s="4" t="n">
        <x:f>'Все позиции'!K110</x:f>
        <x:v>274.14</x:v>
      </x:c>
      <x:c r="J36" s="4" t="n">
        <x:f>'Все позиции'!M110</x:f>
        <x:v>63.05</x:v>
      </x:c>
      <x:c r="K36" s="4" t="n">
        <x:f>'Все позиции'!N110</x:f>
        <x:v>337.19</x:v>
      </x:c>
      <x:c r="L36" t="str">
        <x:f>'Все позиции'!P110</x:f>
        <x:v>Sales confirmation for document 47255.pdf</x:v>
      </x:c>
    </x:row>
    <x:row r="37">
      <x:c r="A37" s="1" t="n">
        <x:f>'Все позиции'!A121</x:f>
        <x:v>46260</x:v>
      </x:c>
      <x:c r="B37" t="str">
        <x:f>'Все позиции'!B121</x:f>
        <x:v>F</x:v>
      </x:c>
      <x:c r="C37" t="str">
        <x:f>'Все позиции'!C121</x:f>
        <x:v>00047949/MAT/26/F</x:v>
      </x:c>
      <x:c r="D37" t="str">
        <x:f>'Все позиции'!S121</x:f>
        <x:v>Автохимия</x:v>
      </x:c>
      <x:c r="E37" t="str">
        <x:f>'Все позиции'!F121</x:f>
        <x:v>CRC EXHAUST PASTE 150G Preparat do układu</x:v>
      </x:c>
      <x:c r="F37" t="str">
        <x:f>'Все позиции'!G121</x:f>
        <x:v>CRC</x:v>
      </x:c>
      <x:c r="G37" s="3" t="n">
        <x:f>'Все позиции'!H121</x:f>
        <x:v>1</x:v>
      </x:c>
      <x:c r="H37" s="4" t="n">
        <x:f>'Все позиции'!I121</x:f>
        <x:v>17.32</x:v>
      </x:c>
      <x:c r="I37" s="4" t="n">
        <x:f>'Все позиции'!K121</x:f>
        <x:v>17.32</x:v>
      </x:c>
      <x:c r="J37" s="4" t="n">
        <x:f>'Все позиции'!M121</x:f>
        <x:v>3.98</x:v>
      </x:c>
      <x:c r="K37" s="4" t="n">
        <x:f>'Все позиции'!N121</x:f>
        <x:v>21.3</x:v>
      </x:c>
      <x:c r="L37" t="str">
        <x:f>'Все позиции'!P121</x:f>
        <x:v>Sales confirmation for document 47949.pdf</x:v>
      </x:c>
    </x:row>
    <x:row r="38">
      <x:c r="A38" s="1" t="n">
        <x:f>'Все позиции'!A122</x:f>
        <x:v>46260</x:v>
      </x:c>
      <x:c r="B38" t="str">
        <x:f>'Все позиции'!B122</x:f>
        <x:v>F</x:v>
      </x:c>
      <x:c r="C38" t="str">
        <x:f>'Все позиции'!C122</x:f>
        <x:v>00047949/MAT/26/F</x:v>
      </x:c>
      <x:c r="D38" t="str">
        <x:f>'Все позиции'!S122</x:f>
        <x:v>Трансмиссионное масло</x:v>
      </x:c>
      <x:c r="E38" t="str">
        <x:f>'Все позиции'!F122</x:f>
        <x:v>FE101161 Olej ATF</x:v>
      </x:c>
      <x:c r="F38" t="str">
        <x:f>'Все позиции'!G122</x:f>
        <x:v>FEBI</x:v>
      </x:c>
      <x:c r="G38" s="3" t="n">
        <x:f>'Все позиции'!H122</x:f>
        <x:v>1</x:v>
      </x:c>
      <x:c r="H38" s="4" t="n">
        <x:f>'Все позиции'!I122</x:f>
        <x:v>195.51</x:v>
      </x:c>
      <x:c r="I38" s="4" t="n">
        <x:f>'Все позиции'!K122</x:f>
        <x:v>195.51</x:v>
      </x:c>
      <x:c r="J38" s="4" t="n">
        <x:f>'Все позиции'!M122</x:f>
        <x:v>44.97</x:v>
      </x:c>
      <x:c r="K38" s="4" t="n">
        <x:f>'Все позиции'!N122</x:f>
        <x:v>240.48</x:v>
      </x:c>
      <x:c r="L38" t="str">
        <x:f>'Все позиции'!P122</x:f>
        <x:v>Sales confirmation for document 47949.pdf</x:v>
      </x:c>
    </x:row>
    <x:row r="39">
      <x:c r="A39" s="1" t="n">
        <x:f>'Все позиции'!A132</x:f>
        <x:v>46261</x:v>
      </x:c>
      <x:c r="B39" t="str">
        <x:f>'Все позиции'!B132</x:f>
        <x:v>F</x:v>
      </x:c>
      <x:c r="C39" t="str">
        <x:f>'Все позиции'!C132</x:f>
        <x:v>00048093/MAT/26/F</x:v>
      </x:c>
      <x:c r="D39" t="str">
        <x:f>'Все позиции'!S132</x:f>
        <x:v>Моторное масло</x:v>
      </x:c>
      <x:c r="E39" t="str">
        <x:f>'Все позиции'!F132</x:f>
        <x:v>RESTORE&amp;PROTECT 5W30 5L Olej silnikowy</x:v>
      </x:c>
      <x:c r="F39" t="str">
        <x:f>'Все позиции'!G132</x:f>
        <x:v>VALVOLINE</x:v>
      </x:c>
      <x:c r="G39" s="3" t="n">
        <x:f>'Все позиции'!H132</x:f>
        <x:v>1</x:v>
      </x:c>
      <x:c r="H39" s="4" t="n">
        <x:f>'Все позиции'!I132</x:f>
        <x:v>159.57</x:v>
      </x:c>
      <x:c r="I39" s="4" t="n">
        <x:f>'Все позиции'!K132</x:f>
        <x:v>159.57</x:v>
      </x:c>
      <x:c r="J39" s="4" t="n">
        <x:f>'Все позиции'!M132</x:f>
        <x:v>36.7</x:v>
      </x:c>
      <x:c r="K39" s="4" t="n">
        <x:f>'Все позиции'!N132</x:f>
        <x:v>196.26999999999998</x:v>
      </x:c>
      <x:c r="L39" t="str">
        <x:f>'Все позиции'!P132</x:f>
        <x:v>Sales confirmation for document 48093.pdf</x:v>
      </x:c>
    </x:row>
    <x:row r="40">
      <x:c r="A40" s="1" t="n">
        <x:f>'Все позиции'!A137</x:f>
        <x:v>46265</x:v>
      </x:c>
      <x:c r="B40" t="str">
        <x:f>'Все позиции'!B137</x:f>
        <x:v>F</x:v>
      </x:c>
      <x:c r="C40" t="str">
        <x:f>'Все позиции'!C137</x:f>
        <x:v>00048778/MAT/26/F</x:v>
      </x:c>
      <x:c r="D40" t="str">
        <x:f>'Все позиции'!S137</x:f>
        <x:v>Моторное масло</x:v>
      </x:c>
      <x:c r="E40" t="str">
        <x:f>'Все позиции'!F137</x:f>
        <x:v>NGEN HYBRID 0W8 4L Olej silnikowy NGEN HYBRID (4L)</x:v>
      </x:c>
      <x:c r="F40" t="str">
        <x:f>'Все позиции'!G137</x:f>
        <x:v>MOTUL</x:v>
      </x:c>
      <x:c r="G40" s="3" t="n">
        <x:f>'Все позиции'!H137</x:f>
        <x:v>1</x:v>
      </x:c>
      <x:c r="H40" s="4" t="n">
        <x:f>'Все позиции'!I137</x:f>
        <x:v>229.83</x:v>
      </x:c>
      <x:c r="I40" s="4" t="n">
        <x:f>'Все позиции'!K137</x:f>
        <x:v>229.83</x:v>
      </x:c>
      <x:c r="J40" s="4" t="n">
        <x:f>'Все позиции'!M137</x:f>
        <x:v>52.86</x:v>
      </x:c>
      <x:c r="K40" s="4" t="n">
        <x:f>'Все позиции'!N137</x:f>
        <x:v>282.69</x:v>
      </x:c>
      <x:c r="L40" t="str">
        <x:f>'Все позиции'!P137</x:f>
        <x:v>Sales confirmation for document 48778.pdf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6bee1c028a14f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3" hidden="0" customWidth="1"/>
    <x:col min="4" max="4" width="23" hidden="0" customWidth="1"/>
    <x:col min="5" max="5" width="13" hidden="0" customWidth="1"/>
    <x:col min="6" max="6" width="14" hidden="0" customWidth="1"/>
    <x:col min="7" max="7" width="16" hidden="0" customWidth="1"/>
    <x:col min="8" max="8" width="15" hidden="0" customWidth="1"/>
    <x:col min="9" max="9" width="16" hidden="0" customWidth="1"/>
    <x:col min="10" max="10" width="17" hidden="0" customWidth="1"/>
    <x:col min="11" max="11" width="16" hidden="0" customWidth="1"/>
    <x:col min="12" max="12" width="18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  <x:col min="17" max="17" width="38" hidden="0" customWidth="1"/>
  </x:cols>
  <x:sheetData>
    <x:row r="1" ht="38" customHeight="1">
      <x:c r="A1" s="22" t="str">
        <x:v>Дата</x:v>
      </x:c>
      <x:c r="B1" s="22" t="str">
        <x:v>Тип</x:v>
      </x:c>
      <x:c r="C1" s="22" t="str">
        <x:v>№ документа</x:v>
      </x:c>
      <x:c r="D1" s="22" t="str">
        <x:v>Корректируемый документ</x:v>
      </x:c>
      <x:c r="E1" s="22" t="str">
        <x:v>Позиций в PDF</x:v>
      </x:c>
      <x:c r="F1" s="22" t="str">
        <x:v>Строк движения</x:v>
      </x:c>
      <x:c r="G1" s="22" t="str">
        <x:v>Netto по PDF, zł</x:v>
      </x:c>
      <x:c r="H1" s="22" t="str">
        <x:v>VAT по PDF, zł</x:v>
      </x:c>
      <x:c r="I1" s="22" t="str">
        <x:v>Brutto по PDF, zł</x:v>
      </x:c>
      <x:c r="J1" s="22" t="str">
        <x:v>Netto из позиций, zł</x:v>
      </x:c>
      <x:c r="K1" s="22" t="str">
        <x:v>VAT из позиций, zł</x:v>
      </x:c>
      <x:c r="L1" s="22" t="str">
        <x:v>Brutto из позиций, zł</x:v>
      </x:c>
      <x:c r="M1" s="22" t="str">
        <x:v>Δ Netto</x:v>
      </x:c>
      <x:c r="N1" s="22" t="str">
        <x:v>Δ VAT</x:v>
      </x:c>
      <x:c r="O1" s="22" t="str">
        <x:v>Δ Brutto</x:v>
      </x:c>
      <x:c r="P1" s="22" t="str">
        <x:v>Проверка</x:v>
      </x:c>
      <x:c r="Q1" s="22" t="str">
        <x:v>Файл-источник</x:v>
      </x:c>
    </x:row>
    <x:row r="2">
      <x:c r="A2" s="1" t="n">
        <x:v>46237</x:v>
      </x:c>
      <x:c r="B2" t="str">
        <x:v>F</x:v>
      </x:c>
      <x:c r="C2" t="str">
        <x:v>00043648/MAT/26/F</x:v>
      </x:c>
      <x:c r="D2" t="str"/>
      <x:c r="E2" s="2" t="n">
        <x:v>1</x:v>
      </x:c>
      <x:c r="F2" s="2" t="n">
        <x:f>COUNTIF('Все позиции'!$C$2:$C$139,C2)</x:f>
        <x:v>1</x:v>
      </x:c>
      <x:c r="G2" s="4" t="n">
        <x:v>28.46</x:v>
      </x:c>
      <x:c r="H2" s="4" t="n">
        <x:v>6.55</x:v>
      </x:c>
      <x:c r="I2" s="4" t="n">
        <x:v>35.01</x:v>
      </x:c>
      <x:c r="J2" s="4" t="n">
        <x:f>SUMIFS('Все позиции'!$K$2:$K$139,'Все позиции'!$C$2:$C$139,C2)</x:f>
        <x:v>28.46</x:v>
      </x:c>
      <x:c r="K2" s="4" t="n">
        <x:f>SUMIFS('Все позиции'!$M$2:$M$139,'Все позиции'!$C$2:$C$139,C2)</x:f>
        <x:v>6.55</x:v>
      </x:c>
      <x:c r="L2" s="4" t="n">
        <x:f>SUMIFS('Все позиции'!$N$2:$N$139,'Все позиции'!$C$2:$C$139,C2)</x:f>
        <x:v>35.01</x:v>
      </x:c>
      <x:c r="M2" s="4" t="n">
        <x:f>ROUND(J2-G2,2)</x:f>
        <x:v>0</x:v>
      </x:c>
      <x:c r="N2" s="4" t="n">
        <x:f>ROUND(K2-H2,2)</x:f>
        <x:v>0</x:v>
      </x:c>
      <x:c r="O2" s="4" t="n">
        <x:f>ROUND(L2-I2,2)</x:f>
        <x:v>0</x:v>
      </x:c>
      <x:c r="P2" t="str">
        <x:f>IF(AND(ABS(M2)&lt;0.005,ABS(N2)&lt;0.005,ABS(O2)&lt;0.005),"OK","ПРОВЕРИТЬ")</x:f>
        <x:v>OK</x:v>
      </x:c>
      <x:c r="Q2" t="str">
        <x:v>Sales confirmation for document 43648(1).pdf</x:v>
      </x:c>
    </x:row>
    <x:row r="3">
      <x:c r="A3" s="1" t="n">
        <x:v>46239</x:v>
      </x:c>
      <x:c r="B3" t="str">
        <x:v>F</x:v>
      </x:c>
      <x:c r="C3" t="str">
        <x:v>00044087/MAT/26/F</x:v>
      </x:c>
      <x:c r="D3" t="str"/>
      <x:c r="E3" s="2" t="n">
        <x:v>1</x:v>
      </x:c>
      <x:c r="F3" s="2" t="n">
        <x:f>COUNTIF('Все позиции'!$C$2:$C$139,C3)</x:f>
        <x:v>1</x:v>
      </x:c>
      <x:c r="G3" s="4" t="n">
        <x:v>67.6</x:v>
      </x:c>
      <x:c r="H3" s="4" t="n">
        <x:v>15.55</x:v>
      </x:c>
      <x:c r="I3" s="4" t="n">
        <x:v>83.15</x:v>
      </x:c>
      <x:c r="J3" s="4" t="n">
        <x:f>SUMIFS('Все позиции'!$K$2:$K$139,'Все позиции'!$C$2:$C$139,C3)</x:f>
        <x:v>67.6</x:v>
      </x:c>
      <x:c r="K3" s="4" t="n">
        <x:f>SUMIFS('Все позиции'!$M$2:$M$139,'Все позиции'!$C$2:$C$139,C3)</x:f>
        <x:v>15.55</x:v>
      </x:c>
      <x:c r="L3" s="4" t="n">
        <x:f>SUMIFS('Все позиции'!$N$2:$N$139,'Все позиции'!$C$2:$C$139,C3)</x:f>
        <x:v>83.14999999999999</x:v>
      </x:c>
      <x:c r="M3" s="4" t="n">
        <x:f>ROUND(J3-G3,2)</x:f>
        <x:v>0</x:v>
      </x:c>
      <x:c r="N3" s="4" t="n">
        <x:f>ROUND(K3-H3,2)</x:f>
        <x:v>0</x:v>
      </x:c>
      <x:c r="O3" s="4" t="n">
        <x:f>ROUND(L3-I3,2)</x:f>
        <x:v>0</x:v>
      </x:c>
      <x:c r="P3" t="str">
        <x:f>IF(AND(ABS(M3)&lt;0.005,ABS(N3)&lt;0.005,ABS(O3)&lt;0.005),"OK","ПРОВЕРИТЬ")</x:f>
        <x:v>OK</x:v>
      </x:c>
      <x:c r="Q3" t="str">
        <x:v>Sales confirmation for document 44087(1).pdf</x:v>
      </x:c>
    </x:row>
    <x:row r="4">
      <x:c r="A4" s="1" t="n">
        <x:v>46240</x:v>
      </x:c>
      <x:c r="B4" t="str">
        <x:v>F</x:v>
      </x:c>
      <x:c r="C4" t="str">
        <x:v>00044215/MAT/26/F</x:v>
      </x:c>
      <x:c r="D4" t="str"/>
      <x:c r="E4" s="2" t="n">
        <x:v>9</x:v>
      </x:c>
      <x:c r="F4" s="2" t="n">
        <x:f>COUNTIF('Все позиции'!$C$2:$C$139,C4)</x:f>
        <x:v>9</x:v>
      </x:c>
      <x:c r="G4" s="4" t="n">
        <x:v>492.38</x:v>
      </x:c>
      <x:c r="H4" s="4" t="n">
        <x:v>107.85</x:v>
      </x:c>
      <x:c r="I4" s="4" t="n">
        <x:v>600.23</x:v>
      </x:c>
      <x:c r="J4" s="4" t="n">
        <x:f>SUMIFS('Все позиции'!$K$2:$K$139,'Все позиции'!$C$2:$C$139,C4)</x:f>
        <x:v>492.38</x:v>
      </x:c>
      <x:c r="K4" s="4" t="n">
        <x:f>SUMIFS('Все позиции'!$M$2:$M$139,'Все позиции'!$C$2:$C$139,C4)</x:f>
        <x:v>107.85</x:v>
      </x:c>
      <x:c r="L4" s="4" t="n">
        <x:f>SUMIFS('Все позиции'!$N$2:$N$139,'Все позиции'!$C$2:$C$139,C4)</x:f>
        <x:v>600.23</x:v>
      </x:c>
      <x:c r="M4" s="4" t="n">
        <x:f>ROUND(J4-G4,2)</x:f>
        <x:v>0</x:v>
      </x:c>
      <x:c r="N4" s="4" t="n">
        <x:f>ROUND(K4-H4,2)</x:f>
        <x:v>0</x:v>
      </x:c>
      <x:c r="O4" s="4" t="n">
        <x:f>ROUND(L4-I4,2)</x:f>
        <x:v>0</x:v>
      </x:c>
      <x:c r="P4" t="str">
        <x:f>IF(AND(ABS(M4)&lt;0.005,ABS(N4)&lt;0.005,ABS(O4)&lt;0.005),"OK","ПРОВЕРИТЬ")</x:f>
        <x:v>OK</x:v>
      </x:c>
      <x:c r="Q4" t="str">
        <x:v>Sales confirmation for document 44215(1).pdf</x:v>
      </x:c>
    </x:row>
    <x:row r="5">
      <x:c r="A5" s="1" t="n">
        <x:v>46240</x:v>
      </x:c>
      <x:c r="B5" t="str">
        <x:v>F</x:v>
      </x:c>
      <x:c r="C5" t="str">
        <x:v>00044259/MAT/26/F</x:v>
      </x:c>
      <x:c r="D5" t="str"/>
      <x:c r="E5" s="2" t="n">
        <x:v>1</x:v>
      </x:c>
      <x:c r="F5" s="2" t="n">
        <x:f>COUNTIF('Все позиции'!$C$2:$C$139,C5)</x:f>
        <x:v>1</x:v>
      </x:c>
      <x:c r="G5" s="4" t="n">
        <x:v>178.71</x:v>
      </x:c>
      <x:c r="H5" s="4" t="n">
        <x:v>41.1</x:v>
      </x:c>
      <x:c r="I5" s="4" t="n">
        <x:v>219.81</x:v>
      </x:c>
      <x:c r="J5" s="4" t="n">
        <x:f>SUMIFS('Все позиции'!$K$2:$K$139,'Все позиции'!$C$2:$C$139,C5)</x:f>
        <x:v>178.71</x:v>
      </x:c>
      <x:c r="K5" s="4" t="n">
        <x:f>SUMIFS('Все позиции'!$M$2:$M$139,'Все позиции'!$C$2:$C$139,C5)</x:f>
        <x:v>41.1</x:v>
      </x:c>
      <x:c r="L5" s="4" t="n">
        <x:f>SUMIFS('Все позиции'!$N$2:$N$139,'Все позиции'!$C$2:$C$139,C5)</x:f>
        <x:v>219.81</x:v>
      </x:c>
      <x:c r="M5" s="4" t="n">
        <x:f>ROUND(J5-G5,2)</x:f>
        <x:v>0</x:v>
      </x:c>
      <x:c r="N5" s="4" t="n">
        <x:f>ROUND(K5-H5,2)</x:f>
        <x:v>0</x:v>
      </x:c>
      <x:c r="O5" s="4" t="n">
        <x:f>ROUND(L5-I5,2)</x:f>
        <x:v>0</x:v>
      </x:c>
      <x:c r="P5" t="str">
        <x:f>IF(AND(ABS(M5)&lt;0.005,ABS(N5)&lt;0.005,ABS(O5)&lt;0.005),"OK","ПРОВЕРИТЬ")</x:f>
        <x:v>OK</x:v>
      </x:c>
      <x:c r="Q5" t="str">
        <x:v>Sales confirmation for document 44259(1).pdf</x:v>
      </x:c>
    </x:row>
    <x:row r="6">
      <x:c r="A6" s="1" t="n">
        <x:v>46240</x:v>
      </x:c>
      <x:c r="B6" t="str">
        <x:v>FK</x:v>
      </x:c>
      <x:c r="C6" t="str">
        <x:v>00011830/MAT/26/FK</x:v>
      </x:c>
      <x:c r="D6" t="str">
        <x:v>00039474/MAT/26/F</x:v>
      </x:c>
      <x:c r="E6" s="2" t="n">
        <x:v>2</x:v>
      </x:c>
      <x:c r="F6" s="2" t="n">
        <x:f>COUNTIF('Все позиции'!$C$2:$C$139,C6)</x:f>
        <x:v>1</x:v>
      </x:c>
      <x:c r="G6" s="4" t="n">
        <x:v>-645</x:v>
      </x:c>
      <x:c r="H6" s="4" t="n">
        <x:v>-148.35</x:v>
      </x:c>
      <x:c r="I6" s="4" t="n">
        <x:v>-793.35</x:v>
      </x:c>
      <x:c r="J6" s="4" t="n">
        <x:f>SUMIFS('Все позиции'!$K$2:$K$139,'Все позиции'!$C$2:$C$139,C6)</x:f>
        <x:v>-645</x:v>
      </x:c>
      <x:c r="K6" s="4" t="n">
        <x:f>SUMIFS('Все позиции'!$M$2:$M$139,'Все позиции'!$C$2:$C$139,C6)</x:f>
        <x:v>-148.35</x:v>
      </x:c>
      <x:c r="L6" s="4" t="n">
        <x:f>SUMIFS('Все позиции'!$N$2:$N$139,'Все позиции'!$C$2:$C$139,C6)</x:f>
        <x:v>-793.35</x:v>
      </x:c>
      <x:c r="M6" s="4" t="n">
        <x:f>ROUND(J6-G6,2)</x:f>
        <x:v>0</x:v>
      </x:c>
      <x:c r="N6" s="4" t="n">
        <x:f>ROUND(K6-H6,2)</x:f>
        <x:v>0</x:v>
      </x:c>
      <x:c r="O6" s="4" t="n">
        <x:f>ROUND(L6-I6,2)</x:f>
        <x:v>0</x:v>
      </x:c>
      <x:c r="P6" t="str">
        <x:f>IF(AND(ABS(M6)&lt;0.005,ABS(N6)&lt;0.005,ABS(O6)&lt;0.005),"OK","ПРОВЕРИТЬ")</x:f>
        <x:v>OK</x:v>
      </x:c>
      <x:c r="Q6" t="str">
        <x:v>Sales confirmation for document 11830(1).pdf</x:v>
      </x:c>
    </x:row>
    <x:row r="7">
      <x:c r="A7" s="1" t="n">
        <x:v>46240</x:v>
      </x:c>
      <x:c r="B7" t="str">
        <x:v>FK</x:v>
      </x:c>
      <x:c r="C7" t="str">
        <x:v>00011845/MAT/26/FK</x:v>
      </x:c>
      <x:c r="D7" t="str">
        <x:v>00036189/MAT/26/F</x:v>
      </x:c>
      <x:c r="E7" s="2" t="n">
        <x:v>2</x:v>
      </x:c>
      <x:c r="F7" s="2" t="n">
        <x:f>COUNTIF('Все позиции'!$C$2:$C$139,C7)</x:f>
        <x:v>1</x:v>
      </x:c>
      <x:c r="G7" s="4" t="n">
        <x:v>-90</x:v>
      </x:c>
      <x:c r="H7" s="4" t="n">
        <x:v>-20.7</x:v>
      </x:c>
      <x:c r="I7" s="4" t="n">
        <x:v>-110.7</x:v>
      </x:c>
      <x:c r="J7" s="4" t="n">
        <x:f>SUMIFS('Все позиции'!$K$2:$K$139,'Все позиции'!$C$2:$C$139,C7)</x:f>
        <x:v>-90</x:v>
      </x:c>
      <x:c r="K7" s="4" t="n">
        <x:f>SUMIFS('Все позиции'!$M$2:$M$139,'Все позиции'!$C$2:$C$139,C7)</x:f>
        <x:v>-20.7</x:v>
      </x:c>
      <x:c r="L7" s="4" t="n">
        <x:f>SUMIFS('Все позиции'!$N$2:$N$139,'Все позиции'!$C$2:$C$139,C7)</x:f>
        <x:v>-110.7</x:v>
      </x:c>
      <x:c r="M7" s="4" t="n">
        <x:f>ROUND(J7-G7,2)</x:f>
        <x:v>0</x:v>
      </x:c>
      <x:c r="N7" s="4" t="n">
        <x:f>ROUND(K7-H7,2)</x:f>
        <x:v>0</x:v>
      </x:c>
      <x:c r="O7" s="4" t="n">
        <x:f>ROUND(L7-I7,2)</x:f>
        <x:v>0</x:v>
      </x:c>
      <x:c r="P7" t="str">
        <x:f>IF(AND(ABS(M7)&lt;0.005,ABS(N7)&lt;0.005,ABS(O7)&lt;0.005),"OK","ПРОВЕРИТЬ")</x:f>
        <x:v>OK</x:v>
      </x:c>
      <x:c r="Q7" t="str">
        <x:v>Sales confirmation for document 11845(1).pdf</x:v>
      </x:c>
    </x:row>
    <x:row r="8">
      <x:c r="A8" s="1" t="n">
        <x:v>46241</x:v>
      </x:c>
      <x:c r="B8" t="str">
        <x:v>F</x:v>
      </x:c>
      <x:c r="C8" t="str">
        <x:v>00044357/MAT/26/F</x:v>
      </x:c>
      <x:c r="D8" t="str"/>
      <x:c r="E8" s="2" t="n">
        <x:v>4</x:v>
      </x:c>
      <x:c r="F8" s="2" t="n">
        <x:f>COUNTIF('Все позиции'!$C$2:$C$139,C8)</x:f>
        <x:v>4</x:v>
      </x:c>
      <x:c r="G8" s="4" t="n">
        <x:v>1034.63</x:v>
      </x:c>
      <x:c r="H8" s="4" t="n">
        <x:v>237.96</x:v>
      </x:c>
      <x:c r="I8" s="4" t="n">
        <x:v>1272.59</x:v>
      </x:c>
      <x:c r="J8" s="4" t="n">
        <x:f>SUMIFS('Все позиции'!$K$2:$K$139,'Все позиции'!$C$2:$C$139,C8)</x:f>
        <x:v>1034.63</x:v>
      </x:c>
      <x:c r="K8" s="4" t="n">
        <x:f>SUMIFS('Все позиции'!$M$2:$M$139,'Все позиции'!$C$2:$C$139,C8)</x:f>
        <x:v>237.96</x:v>
      </x:c>
      <x:c r="L8" s="4" t="n">
        <x:f>SUMIFS('Все позиции'!$N$2:$N$139,'Все позиции'!$C$2:$C$139,C8)</x:f>
        <x:v>1272.5900000000001</x:v>
      </x:c>
      <x:c r="M8" s="4" t="n">
        <x:f>ROUND(J8-G8,2)</x:f>
        <x:v>0</x:v>
      </x:c>
      <x:c r="N8" s="4" t="n">
        <x:f>ROUND(K8-H8,2)</x:f>
        <x:v>0</x:v>
      </x:c>
      <x:c r="O8" s="4" t="n">
        <x:f>ROUND(L8-I8,2)</x:f>
        <x:v>0</x:v>
      </x:c>
      <x:c r="P8" t="str">
        <x:f>IF(AND(ABS(M8)&lt;0.005,ABS(N8)&lt;0.005,ABS(O8)&lt;0.005),"OK","ПРОВЕРИТЬ")</x:f>
        <x:v>OK</x:v>
      </x:c>
      <x:c r="Q8" t="str">
        <x:v>Sales confirmation for document 44357(1).pdf</x:v>
      </x:c>
    </x:row>
    <x:row r="9">
      <x:c r="A9" s="1" t="n">
        <x:v>46241</x:v>
      </x:c>
      <x:c r="B9" t="str">
        <x:v>F</x:v>
      </x:c>
      <x:c r="C9" t="str">
        <x:v>00044463/MAT/26/F</x:v>
      </x:c>
      <x:c r="D9" t="str"/>
      <x:c r="E9" s="2" t="n">
        <x:v>1</x:v>
      </x:c>
      <x:c r="F9" s="2" t="n">
        <x:f>COUNTIF('Все позиции'!$C$2:$C$139,C9)</x:f>
        <x:v>1</x:v>
      </x:c>
      <x:c r="G9" s="4" t="n">
        <x:v>26.22</x:v>
      </x:c>
      <x:c r="H9" s="4" t="n">
        <x:v>6.03</x:v>
      </x:c>
      <x:c r="I9" s="4" t="n">
        <x:v>32.25</x:v>
      </x:c>
      <x:c r="J9" s="4" t="n">
        <x:f>SUMIFS('Все позиции'!$K$2:$K$139,'Все позиции'!$C$2:$C$139,C9)</x:f>
        <x:v>26.22</x:v>
      </x:c>
      <x:c r="K9" s="4" t="n">
        <x:f>SUMIFS('Все позиции'!$M$2:$M$139,'Все позиции'!$C$2:$C$139,C9)</x:f>
        <x:v>6.03</x:v>
      </x:c>
      <x:c r="L9" s="4" t="n">
        <x:f>SUMIFS('Все позиции'!$N$2:$N$139,'Все позиции'!$C$2:$C$139,C9)</x:f>
        <x:v>32.25</x:v>
      </x:c>
      <x:c r="M9" s="4" t="n">
        <x:f>ROUND(J9-G9,2)</x:f>
        <x:v>0</x:v>
      </x:c>
      <x:c r="N9" s="4" t="n">
        <x:f>ROUND(K9-H9,2)</x:f>
        <x:v>0</x:v>
      </x:c>
      <x:c r="O9" s="4" t="n">
        <x:f>ROUND(L9-I9,2)</x:f>
        <x:v>0</x:v>
      </x:c>
      <x:c r="P9" t="str">
        <x:f>IF(AND(ABS(M9)&lt;0.005,ABS(N9)&lt;0.005,ABS(O9)&lt;0.005),"OK","ПРОВЕРИТЬ")</x:f>
        <x:v>OK</x:v>
      </x:c>
      <x:c r="Q9" t="str">
        <x:v>Sales confirmation for document 44463(1).pdf</x:v>
      </x:c>
    </x:row>
    <x:row r="10">
      <x:c r="A10" s="1" t="n">
        <x:v>46241</x:v>
      </x:c>
      <x:c r="B10" t="str">
        <x:v>F</x:v>
      </x:c>
      <x:c r="C10" t="str">
        <x:v>00044516/MAT/26/F</x:v>
      </x:c>
      <x:c r="D10" t="str"/>
      <x:c r="E10" s="2" t="n">
        <x:v>1</x:v>
      </x:c>
      <x:c r="F10" s="2" t="n">
        <x:f>COUNTIF('Все позиции'!$C$2:$C$139,C10)</x:f>
        <x:v>1</x:v>
      </x:c>
      <x:c r="G10" s="4" t="n">
        <x:v>869.84</x:v>
      </x:c>
      <x:c r="H10" s="4" t="n">
        <x:v>200.06</x:v>
      </x:c>
      <x:c r="I10" s="4" t="n">
        <x:v>1069.9</x:v>
      </x:c>
      <x:c r="J10" s="4" t="n">
        <x:f>SUMIFS('Все позиции'!$K$2:$K$139,'Все позиции'!$C$2:$C$139,C10)</x:f>
        <x:v>869.84</x:v>
      </x:c>
      <x:c r="K10" s="4" t="n">
        <x:f>SUMIFS('Все позиции'!$M$2:$M$139,'Все позиции'!$C$2:$C$139,C10)</x:f>
        <x:v>200.06</x:v>
      </x:c>
      <x:c r="L10" s="4" t="n">
        <x:f>SUMIFS('Все позиции'!$N$2:$N$139,'Все позиции'!$C$2:$C$139,C10)</x:f>
        <x:v>1069.9</x:v>
      </x:c>
      <x:c r="M10" s="4" t="n">
        <x:f>ROUND(J10-G10,2)</x:f>
        <x:v>0</x:v>
      </x:c>
      <x:c r="N10" s="4" t="n">
        <x:f>ROUND(K10-H10,2)</x:f>
        <x:v>0</x:v>
      </x:c>
      <x:c r="O10" s="4" t="n">
        <x:f>ROUND(L10-I10,2)</x:f>
        <x:v>0</x:v>
      </x:c>
      <x:c r="P10" t="str">
        <x:f>IF(AND(ABS(M10)&lt;0.005,ABS(N10)&lt;0.005,ABS(O10)&lt;0.005),"OK","ПРОВЕРИТЬ")</x:f>
        <x:v>OK</x:v>
      </x:c>
      <x:c r="Q10" t="str">
        <x:v>Sales confirmation for document 44516(1).pdf</x:v>
      </x:c>
    </x:row>
    <x:row r="11">
      <x:c r="A11" s="1" t="n">
        <x:v>46241</x:v>
      </x:c>
      <x:c r="B11" t="str">
        <x:v>FK</x:v>
      </x:c>
      <x:c r="C11" t="str">
        <x:v>00011944/MAT/26/FK</x:v>
      </x:c>
      <x:c r="D11" t="str">
        <x:v>00044357/MAT/26/F</x:v>
      </x:c>
      <x:c r="E11" s="2" t="n">
        <x:v>2</x:v>
      </x:c>
      <x:c r="F11" s="2" t="n">
        <x:f>COUNTIF('Все позиции'!$C$2:$C$139,C11)</x:f>
        <x:v>1</x:v>
      </x:c>
      <x:c r="G11" s="4" t="n">
        <x:v>-790.25</x:v>
      </x:c>
      <x:c r="H11" s="4" t="n">
        <x:v>-181.76</x:v>
      </x:c>
      <x:c r="I11" s="4" t="n">
        <x:v>-972.01</x:v>
      </x:c>
      <x:c r="J11" s="4" t="n">
        <x:f>SUMIFS('Все позиции'!$K$2:$K$139,'Все позиции'!$C$2:$C$139,C11)</x:f>
        <x:v>-790.25</x:v>
      </x:c>
      <x:c r="K11" s="4" t="n">
        <x:f>SUMIFS('Все позиции'!$M$2:$M$139,'Все позиции'!$C$2:$C$139,C11)</x:f>
        <x:v>-181.76</x:v>
      </x:c>
      <x:c r="L11" s="4" t="n">
        <x:f>SUMIFS('Все позиции'!$N$2:$N$139,'Все позиции'!$C$2:$C$139,C11)</x:f>
        <x:v>-972.01</x:v>
      </x:c>
      <x:c r="M11" s="4" t="n">
        <x:f>ROUND(J11-G11,2)</x:f>
        <x:v>0</x:v>
      </x:c>
      <x:c r="N11" s="4" t="n">
        <x:f>ROUND(K11-H11,2)</x:f>
        <x:v>0</x:v>
      </x:c>
      <x:c r="O11" s="4" t="n">
        <x:f>ROUND(L11-I11,2)</x:f>
        <x:v>0</x:v>
      </x:c>
      <x:c r="P11" t="str">
        <x:f>IF(AND(ABS(M11)&lt;0.005,ABS(N11)&lt;0.005,ABS(O11)&lt;0.005),"OK","ПРОВЕРИТЬ")</x:f>
        <x:v>OK</x:v>
      </x:c>
      <x:c r="Q11" t="str">
        <x:v>Sales confirmation for document 11944(1).pdf</x:v>
      </x:c>
    </x:row>
    <x:row r="12">
      <x:c r="A12" s="1" t="n">
        <x:v>46244</x:v>
      </x:c>
      <x:c r="B12" t="str">
        <x:v>F</x:v>
      </x:c>
      <x:c r="C12" t="str">
        <x:v>00044771/MAT/26/F</x:v>
      </x:c>
      <x:c r="D12" t="str"/>
      <x:c r="E12" s="2" t="n">
        <x:v>19</x:v>
      </x:c>
      <x:c r="F12" s="2" t="n">
        <x:f>COUNTIF('Все позиции'!$C$2:$C$139,C12)</x:f>
        <x:v>19</x:v>
      </x:c>
      <x:c r="G12" s="4" t="n">
        <x:v>2412.15</x:v>
      </x:c>
      <x:c r="H12" s="4" t="n">
        <x:v>554.79</x:v>
      </x:c>
      <x:c r="I12" s="4" t="n">
        <x:v>2966.94</x:v>
      </x:c>
      <x:c r="J12" s="4" t="n">
        <x:f>SUMIFS('Все позиции'!$K$2:$K$139,'Все позиции'!$C$2:$C$139,C12)</x:f>
        <x:v>2412.1500000000005</x:v>
      </x:c>
      <x:c r="K12" s="4" t="n">
        <x:f>SUMIFS('Все позиции'!$M$2:$M$139,'Все позиции'!$C$2:$C$139,C12)</x:f>
        <x:v>554.79</x:v>
      </x:c>
      <x:c r="L12" s="4" t="n">
        <x:f>SUMIFS('Все позиции'!$N$2:$N$139,'Все позиции'!$C$2:$C$139,C12)</x:f>
        <x:v>2966.94</x:v>
      </x:c>
      <x:c r="M12" s="4" t="n">
        <x:f>ROUND(J12-G12,2)</x:f>
        <x:v>0</x:v>
      </x:c>
      <x:c r="N12" s="4" t="n">
        <x:f>ROUND(K12-H12,2)</x:f>
        <x:v>0</x:v>
      </x:c>
      <x:c r="O12" s="4" t="n">
        <x:f>ROUND(L12-I12,2)</x:f>
        <x:v>0</x:v>
      </x:c>
      <x:c r="P12" t="str">
        <x:f>IF(AND(ABS(M12)&lt;0.005,ABS(N12)&lt;0.005,ABS(O12)&lt;0.005),"OK","ПРОВЕРИТЬ")</x:f>
        <x:v>OK</x:v>
      </x:c>
      <x:c r="Q12" t="str">
        <x:v>Sales confirmation for document 44771(1).pdf</x:v>
      </x:c>
    </x:row>
    <x:row r="13">
      <x:c r="A13" s="1" t="n">
        <x:v>46244</x:v>
      </x:c>
      <x:c r="B13" t="str">
        <x:v>FK</x:v>
      </x:c>
      <x:c r="C13" t="str">
        <x:v>00011980/MAT/26/FK</x:v>
      </x:c>
      <x:c r="D13" t="str">
        <x:v>00044516/MAT/26/F</x:v>
      </x:c>
      <x:c r="E13" s="2" t="n">
        <x:v>2</x:v>
      </x:c>
      <x:c r="F13" s="2" t="n">
        <x:f>COUNTIF('Все позиции'!$C$2:$C$139,C13)</x:f>
        <x:v>1</x:v>
      </x:c>
      <x:c r="G13" s="4" t="n">
        <x:v>-869.84</x:v>
      </x:c>
      <x:c r="H13" s="4" t="n">
        <x:v>-200.06</x:v>
      </x:c>
      <x:c r="I13" s="4" t="n">
        <x:v>-1069.9</x:v>
      </x:c>
      <x:c r="J13" s="4" t="n">
        <x:f>SUMIFS('Все позиции'!$K$2:$K$139,'Все позиции'!$C$2:$C$139,C13)</x:f>
        <x:v>-869.84</x:v>
      </x:c>
      <x:c r="K13" s="4" t="n">
        <x:f>SUMIFS('Все позиции'!$M$2:$M$139,'Все позиции'!$C$2:$C$139,C13)</x:f>
        <x:v>-200.06</x:v>
      </x:c>
      <x:c r="L13" s="4" t="n">
        <x:f>SUMIFS('Все позиции'!$N$2:$N$139,'Все позиции'!$C$2:$C$139,C13)</x:f>
        <x:v>-1069.9</x:v>
      </x:c>
      <x:c r="M13" s="4" t="n">
        <x:f>ROUND(J13-G13,2)</x:f>
        <x:v>0</x:v>
      </x:c>
      <x:c r="N13" s="4" t="n">
        <x:f>ROUND(K13-H13,2)</x:f>
        <x:v>0</x:v>
      </x:c>
      <x:c r="O13" s="4" t="n">
        <x:f>ROUND(L13-I13,2)</x:f>
        <x:v>0</x:v>
      </x:c>
      <x:c r="P13" t="str">
        <x:f>IF(AND(ABS(M13)&lt;0.005,ABS(N13)&lt;0.005,ABS(O13)&lt;0.005),"OK","ПРОВЕРИТЬ")</x:f>
        <x:v>OK</x:v>
      </x:c>
      <x:c r="Q13" t="str">
        <x:v>Sales confirmation for document 11980(1).pdf</x:v>
      </x:c>
    </x:row>
    <x:row r="14">
      <x:c r="A14" s="1" t="n">
        <x:v>46245</x:v>
      </x:c>
      <x:c r="B14" t="str">
        <x:v>F</x:v>
      </x:c>
      <x:c r="C14" t="str">
        <x:v>00045160/MAT/26/F</x:v>
      </x:c>
      <x:c r="D14" t="str"/>
      <x:c r="E14" s="2" t="n">
        <x:v>1</x:v>
      </x:c>
      <x:c r="F14" s="2" t="n">
        <x:f>COUNTIF('Все позиции'!$C$2:$C$139,C14)</x:f>
        <x:v>1</x:v>
      </x:c>
      <x:c r="G14" s="4" t="n">
        <x:v>39.3</x:v>
      </x:c>
      <x:c r="H14" s="4" t="n">
        <x:v>9.04</x:v>
      </x:c>
      <x:c r="I14" s="4" t="n">
        <x:v>48.34</x:v>
      </x:c>
      <x:c r="J14" s="4" t="n">
        <x:f>SUMIFS('Все позиции'!$K$2:$K$139,'Все позиции'!$C$2:$C$139,C14)</x:f>
        <x:v>39.3</x:v>
      </x:c>
      <x:c r="K14" s="4" t="n">
        <x:f>SUMIFS('Все позиции'!$M$2:$M$139,'Все позиции'!$C$2:$C$139,C14)</x:f>
        <x:v>9.04</x:v>
      </x:c>
      <x:c r="L14" s="4" t="n">
        <x:f>SUMIFS('Все позиции'!$N$2:$N$139,'Все позиции'!$C$2:$C$139,C14)</x:f>
        <x:v>48.339999999999996</x:v>
      </x:c>
      <x:c r="M14" s="4" t="n">
        <x:f>ROUND(J14-G14,2)</x:f>
        <x:v>0</x:v>
      </x:c>
      <x:c r="N14" s="4" t="n">
        <x:f>ROUND(K14-H14,2)</x:f>
        <x:v>0</x:v>
      </x:c>
      <x:c r="O14" s="4" t="n">
        <x:f>ROUND(L14-I14,2)</x:f>
        <x:v>0</x:v>
      </x:c>
      <x:c r="P14" t="str">
        <x:f>IF(AND(ABS(M14)&lt;0.005,ABS(N14)&lt;0.005,ABS(O14)&lt;0.005),"OK","ПРОВЕРИТЬ")</x:f>
        <x:v>OK</x:v>
      </x:c>
      <x:c r="Q14" t="str">
        <x:v>Sales confirmation for document 45160(1).pdf</x:v>
      </x:c>
    </x:row>
    <x:row r="15">
      <x:c r="A15" s="1" t="n">
        <x:v>46246</x:v>
      </x:c>
      <x:c r="B15" t="str">
        <x:v>F</x:v>
      </x:c>
      <x:c r="C15" t="str">
        <x:v>00045415/MAT/26/F</x:v>
      </x:c>
      <x:c r="D15" t="str"/>
      <x:c r="E15" s="2" t="n">
        <x:v>1</x:v>
      </x:c>
      <x:c r="F15" s="2" t="n">
        <x:f>COUNTIF('Все позиции'!$C$2:$C$139,C15)</x:f>
        <x:v>1</x:v>
      </x:c>
      <x:c r="G15" s="4" t="n">
        <x:v>103.93</x:v>
      </x:c>
      <x:c r="H15" s="4" t="n">
        <x:v>23.9</x:v>
      </x:c>
      <x:c r="I15" s="4" t="n">
        <x:v>127.83</x:v>
      </x:c>
      <x:c r="J15" s="4" t="n">
        <x:f>SUMIFS('Все позиции'!$K$2:$K$139,'Все позиции'!$C$2:$C$139,C15)</x:f>
        <x:v>103.93</x:v>
      </x:c>
      <x:c r="K15" s="4" t="n">
        <x:f>SUMIFS('Все позиции'!$M$2:$M$139,'Все позиции'!$C$2:$C$139,C15)</x:f>
        <x:v>23.9</x:v>
      </x:c>
      <x:c r="L15" s="4" t="n">
        <x:f>SUMIFS('Все позиции'!$N$2:$N$139,'Все позиции'!$C$2:$C$139,C15)</x:f>
        <x:v>127.83000000000001</x:v>
      </x:c>
      <x:c r="M15" s="4" t="n">
        <x:f>ROUND(J15-G15,2)</x:f>
        <x:v>0</x:v>
      </x:c>
      <x:c r="N15" s="4" t="n">
        <x:f>ROUND(K15-H15,2)</x:f>
        <x:v>0</x:v>
      </x:c>
      <x:c r="O15" s="4" t="n">
        <x:f>ROUND(L15-I15,2)</x:f>
        <x:v>0</x:v>
      </x:c>
      <x:c r="P15" t="str">
        <x:f>IF(AND(ABS(M15)&lt;0.005,ABS(N15)&lt;0.005,ABS(O15)&lt;0.005),"OK","ПРОВЕРИТЬ")</x:f>
        <x:v>OK</x:v>
      </x:c>
      <x:c r="Q15" t="str">
        <x:v>Sales confirmation for document 45415(1).pdf</x:v>
      </x:c>
    </x:row>
    <x:row r="16">
      <x:c r="A16" s="1" t="n">
        <x:v>46251</x:v>
      </x:c>
      <x:c r="B16" t="str">
        <x:v>F</x:v>
      </x:c>
      <x:c r="C16" t="str">
        <x:v>00045917/MAT/26/F</x:v>
      </x:c>
      <x:c r="D16" t="str"/>
      <x:c r="E16" s="2" t="n">
        <x:v>10</x:v>
      </x:c>
      <x:c r="F16" s="2" t="n">
        <x:f>COUNTIF('Все позиции'!$C$2:$C$139,C16)</x:f>
        <x:v>10</x:v>
      </x:c>
      <x:c r="G16" s="4" t="n">
        <x:v>1025</x:v>
      </x:c>
      <x:c r="H16" s="4" t="n">
        <x:v>235.75</x:v>
      </x:c>
      <x:c r="I16" s="4" t="n">
        <x:v>1260.75</x:v>
      </x:c>
      <x:c r="J16" s="4" t="n">
        <x:f>SUMIFS('Все позиции'!$K$2:$K$139,'Все позиции'!$C$2:$C$139,C16)</x:f>
        <x:v>1025</x:v>
      </x:c>
      <x:c r="K16" s="4" t="n">
        <x:f>SUMIFS('Все позиции'!$M$2:$M$139,'Все позиции'!$C$2:$C$139,C16)</x:f>
        <x:v>235.74999999999997</x:v>
      </x:c>
      <x:c r="L16" s="4" t="n">
        <x:f>SUMIFS('Все позиции'!$N$2:$N$139,'Все позиции'!$C$2:$C$139,C16)</x:f>
        <x:v>1260.75</x:v>
      </x:c>
      <x:c r="M16" s="4" t="n">
        <x:f>ROUND(J16-G16,2)</x:f>
        <x:v>0</x:v>
      </x:c>
      <x:c r="N16" s="4" t="n">
        <x:f>ROUND(K16-H16,2)</x:f>
        <x:v>0</x:v>
      </x:c>
      <x:c r="O16" s="4" t="n">
        <x:f>ROUND(L16-I16,2)</x:f>
        <x:v>0</x:v>
      </x:c>
      <x:c r="P16" t="str">
        <x:f>IF(AND(ABS(M16)&lt;0.005,ABS(N16)&lt;0.005,ABS(O16)&lt;0.005),"OK","ПРОВЕРИТЬ")</x:f>
        <x:v>OK</x:v>
      </x:c>
      <x:c r="Q16" t="str">
        <x:v>Sales confirmation for document 45917.pdf</x:v>
      </x:c>
    </x:row>
    <x:row r="17">
      <x:c r="A17" s="1" t="n">
        <x:v>46251</x:v>
      </x:c>
      <x:c r="B17" t="str">
        <x:v>F</x:v>
      </x:c>
      <x:c r="C17" t="str">
        <x:v>00046048/MAT/26/F</x:v>
      </x:c>
      <x:c r="D17" t="str"/>
      <x:c r="E17" s="2" t="n">
        <x:v>4</x:v>
      </x:c>
      <x:c r="F17" s="2" t="n">
        <x:f>COUNTIF('Все позиции'!$C$2:$C$139,C17)</x:f>
        <x:v>4</x:v>
      </x:c>
      <x:c r="G17" s="4" t="n">
        <x:v>307.11</x:v>
      </x:c>
      <x:c r="H17" s="4" t="n">
        <x:v>70.64</x:v>
      </x:c>
      <x:c r="I17" s="4" t="n">
        <x:v>377.75</x:v>
      </x:c>
      <x:c r="J17" s="4" t="n">
        <x:f>SUMIFS('Все позиции'!$K$2:$K$139,'Все позиции'!$C$2:$C$139,C17)</x:f>
        <x:v>307.10999999999996</x:v>
      </x:c>
      <x:c r="K17" s="4" t="n">
        <x:f>SUMIFS('Все позиции'!$M$2:$M$139,'Все позиции'!$C$2:$C$139,C17)</x:f>
        <x:v>70.64</x:v>
      </x:c>
      <x:c r="L17" s="4" t="n">
        <x:f>SUMIFS('Все позиции'!$N$2:$N$139,'Все позиции'!$C$2:$C$139,C17)</x:f>
        <x:v>377.75</x:v>
      </x:c>
      <x:c r="M17" s="4" t="n">
        <x:f>ROUND(J17-G17,2)</x:f>
        <x:v>0</x:v>
      </x:c>
      <x:c r="N17" s="4" t="n">
        <x:f>ROUND(K17-H17,2)</x:f>
        <x:v>0</x:v>
      </x:c>
      <x:c r="O17" s="4" t="n">
        <x:f>ROUND(L17-I17,2)</x:f>
        <x:v>0</x:v>
      </x:c>
      <x:c r="P17" t="str">
        <x:f>IF(AND(ABS(M17)&lt;0.005,ABS(N17)&lt;0.005,ABS(O17)&lt;0.005),"OK","ПРОВЕРИТЬ")</x:f>
        <x:v>OK</x:v>
      </x:c>
      <x:c r="Q17" t="str">
        <x:v>Sales confirmation for document 46048.pdf</x:v>
      </x:c>
    </x:row>
    <x:row r="18">
      <x:c r="A18" s="1" t="n">
        <x:v>46252</x:v>
      </x:c>
      <x:c r="B18" t="str">
        <x:v>F</x:v>
      </x:c>
      <x:c r="C18" t="str">
        <x:v>00046369/MAT/26/F</x:v>
      </x:c>
      <x:c r="D18" t="str"/>
      <x:c r="E18" s="2" t="n">
        <x:v>12</x:v>
      </x:c>
      <x:c r="F18" s="2" t="n">
        <x:f>COUNTIF('Все позиции'!$C$2:$C$139,C18)</x:f>
        <x:v>12</x:v>
      </x:c>
      <x:c r="G18" s="4" t="n">
        <x:v>828.88</x:v>
      </x:c>
      <x:c r="H18" s="4" t="n">
        <x:v>190.64</x:v>
      </x:c>
      <x:c r="I18" s="4" t="n">
        <x:v>1019.52</x:v>
      </x:c>
      <x:c r="J18" s="4" t="n">
        <x:f>SUMIFS('Все позиции'!$K$2:$K$139,'Все позиции'!$C$2:$C$139,C18)</x:f>
        <x:v>828.88</x:v>
      </x:c>
      <x:c r="K18" s="4" t="n">
        <x:f>SUMIFS('Все позиции'!$M$2:$M$139,'Все позиции'!$C$2:$C$139,C18)</x:f>
        <x:v>190.64000000000001</x:v>
      </x:c>
      <x:c r="L18" s="4" t="n">
        <x:f>SUMIFS('Все позиции'!$N$2:$N$139,'Все позиции'!$C$2:$C$139,C18)</x:f>
        <x:v>1019.52</x:v>
      </x:c>
      <x:c r="M18" s="4" t="n">
        <x:f>ROUND(J18-G18,2)</x:f>
        <x:v>0</x:v>
      </x:c>
      <x:c r="N18" s="4" t="n">
        <x:f>ROUND(K18-H18,2)</x:f>
        <x:v>0</x:v>
      </x:c>
      <x:c r="O18" s="4" t="n">
        <x:f>ROUND(L18-I18,2)</x:f>
        <x:v>0</x:v>
      </x:c>
      <x:c r="P18" t="str">
        <x:f>IF(AND(ABS(M18)&lt;0.005,ABS(N18)&lt;0.005,ABS(O18)&lt;0.005),"OK","ПРОВЕРИТЬ")</x:f>
        <x:v>OK</x:v>
      </x:c>
      <x:c r="Q18" t="str">
        <x:v>Sales confirmation for document 46369.pdf</x:v>
      </x:c>
    </x:row>
    <x:row r="19">
      <x:c r="A19" s="1" t="n">
        <x:v>46252</x:v>
      </x:c>
      <x:c r="B19" t="str">
        <x:v>F</x:v>
      </x:c>
      <x:c r="C19" t="str">
        <x:v>00046432/MAT/26/F</x:v>
      </x:c>
      <x:c r="D19" t="str"/>
      <x:c r="E19" s="2" t="n">
        <x:v>3</x:v>
      </x:c>
      <x:c r="F19" s="2" t="n">
        <x:f>COUNTIF('Все позиции'!$C$2:$C$139,C19)</x:f>
        <x:v>3</x:v>
      </x:c>
      <x:c r="G19" s="4" t="n">
        <x:v>377.03</x:v>
      </x:c>
      <x:c r="H19" s="4" t="n">
        <x:v>86.72</x:v>
      </x:c>
      <x:c r="I19" s="4" t="n">
        <x:v>463.75</x:v>
      </x:c>
      <x:c r="J19" s="4" t="n">
        <x:f>SUMIFS('Все позиции'!$K$2:$K$139,'Все позиции'!$C$2:$C$139,C19)</x:f>
        <x:v>377.03</x:v>
      </x:c>
      <x:c r="K19" s="4" t="n">
        <x:f>SUMIFS('Все позиции'!$M$2:$M$139,'Все позиции'!$C$2:$C$139,C19)</x:f>
        <x:v>86.72</x:v>
      </x:c>
      <x:c r="L19" s="4" t="n">
        <x:f>SUMIFS('Все позиции'!$N$2:$N$139,'Все позиции'!$C$2:$C$139,C19)</x:f>
        <x:v>463.75</x:v>
      </x:c>
      <x:c r="M19" s="4" t="n">
        <x:f>ROUND(J19-G19,2)</x:f>
        <x:v>0</x:v>
      </x:c>
      <x:c r="N19" s="4" t="n">
        <x:f>ROUND(K19-H19,2)</x:f>
        <x:v>0</x:v>
      </x:c>
      <x:c r="O19" s="4" t="n">
        <x:f>ROUND(L19-I19,2)</x:f>
        <x:v>0</x:v>
      </x:c>
      <x:c r="P19" t="str">
        <x:f>IF(AND(ABS(M19)&lt;0.005,ABS(N19)&lt;0.005,ABS(O19)&lt;0.005),"OK","ПРОВЕРИТЬ")</x:f>
        <x:v>OK</x:v>
      </x:c>
      <x:c r="Q19" t="str">
        <x:v>Sales confirmation for document 46432.pdf</x:v>
      </x:c>
    </x:row>
    <x:row r="20">
      <x:c r="A20" s="1" t="n">
        <x:v>46253</x:v>
      </x:c>
      <x:c r="B20" t="str">
        <x:v>F</x:v>
      </x:c>
      <x:c r="C20" t="str">
        <x:v>00046501/MAT/26/F</x:v>
      </x:c>
      <x:c r="D20" t="str"/>
      <x:c r="E20" s="2" t="n">
        <x:v>4</x:v>
      </x:c>
      <x:c r="F20" s="2" t="n">
        <x:f>COUNTIF('Все позиции'!$C$2:$C$139,C20)</x:f>
        <x:v>4</x:v>
      </x:c>
      <x:c r="G20" s="4" t="n">
        <x:v>523.27</x:v>
      </x:c>
      <x:c r="H20" s="4" t="n">
        <x:v>120.35</x:v>
      </x:c>
      <x:c r="I20" s="4" t="n">
        <x:v>643.62</x:v>
      </x:c>
      <x:c r="J20" s="4" t="n">
        <x:f>SUMIFS('Все позиции'!$K$2:$K$139,'Все позиции'!$C$2:$C$139,C20)</x:f>
        <x:v>523.27</x:v>
      </x:c>
      <x:c r="K20" s="4" t="n">
        <x:f>SUMIFS('Все позиции'!$M$2:$M$139,'Все позиции'!$C$2:$C$139,C20)</x:f>
        <x:v>120.35</x:v>
      </x:c>
      <x:c r="L20" s="4" t="n">
        <x:f>SUMIFS('Все позиции'!$N$2:$N$139,'Все позиции'!$C$2:$C$139,C20)</x:f>
        <x:v>643.62</x:v>
      </x:c>
      <x:c r="M20" s="4" t="n">
        <x:f>ROUND(J20-G20,2)</x:f>
        <x:v>0</x:v>
      </x:c>
      <x:c r="N20" s="4" t="n">
        <x:f>ROUND(K20-H20,2)</x:f>
        <x:v>0</x:v>
      </x:c>
      <x:c r="O20" s="4" t="n">
        <x:f>ROUND(L20-I20,2)</x:f>
        <x:v>0</x:v>
      </x:c>
      <x:c r="P20" t="str">
        <x:f>IF(AND(ABS(M20)&lt;0.005,ABS(N20)&lt;0.005,ABS(O20)&lt;0.005),"OK","ПРОВЕРИТЬ")</x:f>
        <x:v>OK</x:v>
      </x:c>
      <x:c r="Q20" t="str">
        <x:v>Sales confirmation for document 46501.pdf</x:v>
      </x:c>
    </x:row>
    <x:row r="21">
      <x:c r="A21" s="1" t="n">
        <x:v>46253</x:v>
      </x:c>
      <x:c r="B21" t="str">
        <x:v>F</x:v>
      </x:c>
      <x:c r="C21" t="str">
        <x:v>00046618/MAT/26/F</x:v>
      </x:c>
      <x:c r="D21" t="str"/>
      <x:c r="E21" s="2" t="n">
        <x:v>1</x:v>
      </x:c>
      <x:c r="F21" s="2" t="n">
        <x:f>COUNTIF('Все позиции'!$C$2:$C$139,C21)</x:f>
        <x:v>1</x:v>
      </x:c>
      <x:c r="G21" s="4" t="n">
        <x:v>22.35</x:v>
      </x:c>
      <x:c r="H21" s="4" t="n">
        <x:v>5.14</x:v>
      </x:c>
      <x:c r="I21" s="4" t="n">
        <x:v>27.49</x:v>
      </x:c>
      <x:c r="J21" s="4" t="n">
        <x:f>SUMIFS('Все позиции'!$K$2:$K$139,'Все позиции'!$C$2:$C$139,C21)</x:f>
        <x:v>22.35</x:v>
      </x:c>
      <x:c r="K21" s="4" t="n">
        <x:f>SUMIFS('Все позиции'!$M$2:$M$139,'Все позиции'!$C$2:$C$139,C21)</x:f>
        <x:v>5.14</x:v>
      </x:c>
      <x:c r="L21" s="4" t="n">
        <x:f>SUMIFS('Все позиции'!$N$2:$N$139,'Все позиции'!$C$2:$C$139,C21)</x:f>
        <x:v>27.490000000000002</x:v>
      </x:c>
      <x:c r="M21" s="4" t="n">
        <x:f>ROUND(J21-G21,2)</x:f>
        <x:v>0</x:v>
      </x:c>
      <x:c r="N21" s="4" t="n">
        <x:f>ROUND(K21-H21,2)</x:f>
        <x:v>0</x:v>
      </x:c>
      <x:c r="O21" s="4" t="n">
        <x:f>ROUND(L21-I21,2)</x:f>
        <x:v>0</x:v>
      </x:c>
      <x:c r="P21" t="str">
        <x:f>IF(AND(ABS(M21)&lt;0.005,ABS(N21)&lt;0.005,ABS(O21)&lt;0.005),"OK","ПРОВЕРИТЬ")</x:f>
        <x:v>OK</x:v>
      </x:c>
      <x:c r="Q21" t="str">
        <x:v>Sales confirmation for document 46618.pdf</x:v>
      </x:c>
    </x:row>
    <x:row r="22">
      <x:c r="A22" s="1" t="n">
        <x:v>46253</x:v>
      </x:c>
      <x:c r="B22" t="str">
        <x:v>FK</x:v>
      </x:c>
      <x:c r="C22" t="str">
        <x:v>00012578/MAT/26/FK</x:v>
      </x:c>
      <x:c r="D22" t="str">
        <x:v>00046501/MAT/26/F</x:v>
      </x:c>
      <x:c r="E22" s="2" t="n">
        <x:v>4</x:v>
      </x:c>
      <x:c r="F22" s="2" t="n">
        <x:f>COUNTIF('Все позиции'!$C$2:$C$139,C22)</x:f>
        <x:v>3</x:v>
      </x:c>
      <x:c r="G22" s="4" t="n">
        <x:v>-223.2</x:v>
      </x:c>
      <x:c r="H22" s="4" t="n">
        <x:v>-51.34</x:v>
      </x:c>
      <x:c r="I22" s="4" t="n">
        <x:v>-274.54</x:v>
      </x:c>
      <x:c r="J22" s="4" t="n">
        <x:f>SUMIFS('Все позиции'!$K$2:$K$139,'Все позиции'!$C$2:$C$139,C22)</x:f>
        <x:v>-223.20000000000002</x:v>
      </x:c>
      <x:c r="K22" s="4" t="n">
        <x:f>SUMIFS('Все позиции'!$M$2:$M$139,'Все позиции'!$C$2:$C$139,C22)</x:f>
        <x:v>-51.34</x:v>
      </x:c>
      <x:c r="L22" s="4" t="n">
        <x:f>SUMIFS('Все позиции'!$N$2:$N$139,'Все позиции'!$C$2:$C$139,C22)</x:f>
        <x:v>-274.5400000000001</x:v>
      </x:c>
      <x:c r="M22" s="4" t="n">
        <x:f>ROUND(J22-G22,2)</x:f>
        <x:v>0</x:v>
      </x:c>
      <x:c r="N22" s="4" t="n">
        <x:f>ROUND(K22-H22,2)</x:f>
        <x:v>0</x:v>
      </x:c>
      <x:c r="O22" s="4" t="n">
        <x:f>ROUND(L22-I22,2)</x:f>
        <x:v>0</x:v>
      </x:c>
      <x:c r="P22" t="str">
        <x:f>IF(AND(ABS(M22)&lt;0.005,ABS(N22)&lt;0.005,ABS(O22)&lt;0.005),"OK","ПРОВЕРИТЬ")</x:f>
        <x:v>OK</x:v>
      </x:c>
      <x:c r="Q22" t="str">
        <x:v>Sales confirmation for document 12578(1).pdf</x:v>
      </x:c>
    </x:row>
    <x:row r="23">
      <x:c r="A23" s="1" t="n">
        <x:v>46254</x:v>
      </x:c>
      <x:c r="B23" t="str">
        <x:v>F</x:v>
      </x:c>
      <x:c r="C23" t="str">
        <x:v>00046763/MAT/26/F</x:v>
      </x:c>
      <x:c r="D23" t="str"/>
      <x:c r="E23" s="2" t="n">
        <x:v>4</x:v>
      </x:c>
      <x:c r="F23" s="2" t="n">
        <x:f>COUNTIF('Все позиции'!$C$2:$C$139,C23)</x:f>
        <x:v>4</x:v>
      </x:c>
      <x:c r="G23" s="4" t="n">
        <x:v>574.19</x:v>
      </x:c>
      <x:c r="H23" s="4" t="n">
        <x:v>132.06</x:v>
      </x:c>
      <x:c r="I23" s="4" t="n">
        <x:v>706.25</x:v>
      </x:c>
      <x:c r="J23" s="4" t="n">
        <x:f>SUMIFS('Все позиции'!$K$2:$K$139,'Все позиции'!$C$2:$C$139,C23)</x:f>
        <x:v>574.1899999999999</x:v>
      </x:c>
      <x:c r="K23" s="4" t="n">
        <x:f>SUMIFS('Все позиции'!$M$2:$M$139,'Все позиции'!$C$2:$C$139,C23)</x:f>
        <x:v>132.06</x:v>
      </x:c>
      <x:c r="L23" s="4" t="n">
        <x:f>SUMIFS('Все позиции'!$N$2:$N$139,'Все позиции'!$C$2:$C$139,C23)</x:f>
        <x:v>706.2500000000001</x:v>
      </x:c>
      <x:c r="M23" s="4" t="n">
        <x:f>ROUND(J23-G23,2)</x:f>
        <x:v>0</x:v>
      </x:c>
      <x:c r="N23" s="4" t="n">
        <x:f>ROUND(K23-H23,2)</x:f>
        <x:v>0</x:v>
      </x:c>
      <x:c r="O23" s="4" t="n">
        <x:f>ROUND(L23-I23,2)</x:f>
        <x:v>0</x:v>
      </x:c>
      <x:c r="P23" t="str">
        <x:f>IF(AND(ABS(M23)&lt;0.005,ABS(N23)&lt;0.005,ABS(O23)&lt;0.005),"OK","ПРОВЕРИТЬ")</x:f>
        <x:v>OK</x:v>
      </x:c>
      <x:c r="Q23" t="str">
        <x:v>Sales confirmation for document 46763.pdf</x:v>
      </x:c>
    </x:row>
    <x:row r="24">
      <x:c r="A24" s="1" t="n">
        <x:v>46254</x:v>
      </x:c>
      <x:c r="B24" t="str">
        <x:v>F</x:v>
      </x:c>
      <x:c r="C24" t="str">
        <x:v>00046899/MAT/26/F</x:v>
      </x:c>
      <x:c r="D24" t="str"/>
      <x:c r="E24" s="2" t="n">
        <x:v>2</x:v>
      </x:c>
      <x:c r="F24" s="2" t="n">
        <x:f>COUNTIF('Все позиции'!$C$2:$C$139,C24)</x:f>
        <x:v>2</x:v>
      </x:c>
      <x:c r="G24" s="4" t="n">
        <x:v>479.68</x:v>
      </x:c>
      <x:c r="H24" s="4" t="n">
        <x:v>110.33</x:v>
      </x:c>
      <x:c r="I24" s="4" t="n">
        <x:v>590.01</x:v>
      </x:c>
      <x:c r="J24" s="4" t="n">
        <x:f>SUMIFS('Все позиции'!$K$2:$K$139,'Все позиции'!$C$2:$C$139,C24)</x:f>
        <x:v>479.68</x:v>
      </x:c>
      <x:c r="K24" s="4" t="n">
        <x:f>SUMIFS('Все позиции'!$M$2:$M$139,'Все позиции'!$C$2:$C$139,C24)</x:f>
        <x:v>110.33000000000001</x:v>
      </x:c>
      <x:c r="L24" s="4" t="n">
        <x:f>SUMIFS('Все позиции'!$N$2:$N$139,'Все позиции'!$C$2:$C$139,C24)</x:f>
        <x:v>590.01</x:v>
      </x:c>
      <x:c r="M24" s="4" t="n">
        <x:f>ROUND(J24-G24,2)</x:f>
        <x:v>0</x:v>
      </x:c>
      <x:c r="N24" s="4" t="n">
        <x:f>ROUND(K24-H24,2)</x:f>
        <x:v>0</x:v>
      </x:c>
      <x:c r="O24" s="4" t="n">
        <x:f>ROUND(L24-I24,2)</x:f>
        <x:v>0</x:v>
      </x:c>
      <x:c r="P24" t="str">
        <x:f>IF(AND(ABS(M24)&lt;0.005,ABS(N24)&lt;0.005,ABS(O24)&lt;0.005),"OK","ПРОВЕРИТЬ")</x:f>
        <x:v>OK</x:v>
      </x:c>
      <x:c r="Q24" t="str">
        <x:v>Sales confirmation for document 46899.pdf</x:v>
      </x:c>
    </x:row>
    <x:row r="25">
      <x:c r="A25" s="1" t="n">
        <x:v>46254</x:v>
      </x:c>
      <x:c r="B25" t="str">
        <x:v>F</x:v>
      </x:c>
      <x:c r="C25" t="str">
        <x:v>00046931/MAT/26/F</x:v>
      </x:c>
      <x:c r="D25" t="str"/>
      <x:c r="E25" s="2" t="n">
        <x:v>7</x:v>
      </x:c>
      <x:c r="F25" s="2" t="n">
        <x:f>COUNTIF('Все позиции'!$C$2:$C$139,C25)</x:f>
        <x:v>7</x:v>
      </x:c>
      <x:c r="G25" s="4" t="n">
        <x:v>611.71</x:v>
      </x:c>
      <x:c r="H25" s="4" t="n">
        <x:v>140.69</x:v>
      </x:c>
      <x:c r="I25" s="4" t="n">
        <x:v>752.4</x:v>
      </x:c>
      <x:c r="J25" s="4" t="n">
        <x:f>SUMIFS('Все позиции'!$K$2:$K$139,'Все позиции'!$C$2:$C$139,C25)</x:f>
        <x:v>611.71</x:v>
      </x:c>
      <x:c r="K25" s="4" t="n">
        <x:f>SUMIFS('Все позиции'!$M$2:$M$139,'Все позиции'!$C$2:$C$139,C25)</x:f>
        <x:v>140.69</x:v>
      </x:c>
      <x:c r="L25" s="4" t="n">
        <x:f>SUMIFS('Все позиции'!$N$2:$N$139,'Все позиции'!$C$2:$C$139,C25)</x:f>
        <x:v>752.4000000000001</x:v>
      </x:c>
      <x:c r="M25" s="4" t="n">
        <x:f>ROUND(J25-G25,2)</x:f>
        <x:v>0</x:v>
      </x:c>
      <x:c r="N25" s="4" t="n">
        <x:f>ROUND(K25-H25,2)</x:f>
        <x:v>0</x:v>
      </x:c>
      <x:c r="O25" s="4" t="n">
        <x:f>ROUND(L25-I25,2)</x:f>
        <x:v>0</x:v>
      </x:c>
      <x:c r="P25" t="str">
        <x:f>IF(AND(ABS(M25)&lt;0.005,ABS(N25)&lt;0.005,ABS(O25)&lt;0.005),"OK","ПРОВЕРИТЬ")</x:f>
        <x:v>OK</x:v>
      </x:c>
      <x:c r="Q25" t="str">
        <x:v>Sales confirmation for document 46931.pdf</x:v>
      </x:c>
    </x:row>
    <x:row r="26">
      <x:c r="A26" s="1" t="n">
        <x:v>46255</x:v>
      </x:c>
      <x:c r="B26" t="str">
        <x:v>F</x:v>
      </x:c>
      <x:c r="C26" t="str">
        <x:v>00046969/MAT/26/F</x:v>
      </x:c>
      <x:c r="D26" t="str"/>
      <x:c r="E26" s="2" t="n">
        <x:v>1</x:v>
      </x:c>
      <x:c r="F26" s="2" t="n">
        <x:f>COUNTIF('Все позиции'!$C$2:$C$139,C26)</x:f>
        <x:v>1</x:v>
      </x:c>
      <x:c r="G26" s="4" t="n">
        <x:v>176.56</x:v>
      </x:c>
      <x:c r="H26" s="4" t="n">
        <x:v>40.61</x:v>
      </x:c>
      <x:c r="I26" s="4" t="n">
        <x:v>217.17</x:v>
      </x:c>
      <x:c r="J26" s="4" t="n">
        <x:f>SUMIFS('Все позиции'!$K$2:$K$139,'Все позиции'!$C$2:$C$139,C26)</x:f>
        <x:v>176.56</x:v>
      </x:c>
      <x:c r="K26" s="4" t="n">
        <x:f>SUMIFS('Все позиции'!$M$2:$M$139,'Все позиции'!$C$2:$C$139,C26)</x:f>
        <x:v>40.61</x:v>
      </x:c>
      <x:c r="L26" s="4" t="n">
        <x:f>SUMIFS('Все позиции'!$N$2:$N$139,'Все позиции'!$C$2:$C$139,C26)</x:f>
        <x:v>217.17000000000002</x:v>
      </x:c>
      <x:c r="M26" s="4" t="n">
        <x:f>ROUND(J26-G26,2)</x:f>
        <x:v>0</x:v>
      </x:c>
      <x:c r="N26" s="4" t="n">
        <x:f>ROUND(K26-H26,2)</x:f>
        <x:v>0</x:v>
      </x:c>
      <x:c r="O26" s="4" t="n">
        <x:f>ROUND(L26-I26,2)</x:f>
        <x:v>0</x:v>
      </x:c>
      <x:c r="P26" t="str">
        <x:f>IF(AND(ABS(M26)&lt;0.005,ABS(N26)&lt;0.005,ABS(O26)&lt;0.005),"OK","ПРОВЕРИТЬ")</x:f>
        <x:v>OK</x:v>
      </x:c>
      <x:c r="Q26" t="str">
        <x:v>Sales confirmation for document 46969.pdf</x:v>
      </x:c>
    </x:row>
    <x:row r="27">
      <x:c r="A27" s="1" t="n">
        <x:v>46255</x:v>
      </x:c>
      <x:c r="B27" t="str">
        <x:v>F</x:v>
      </x:c>
      <x:c r="C27" t="str">
        <x:v>00047064/MAT/26/F</x:v>
      </x:c>
      <x:c r="D27" t="str"/>
      <x:c r="E27" s="2" t="n">
        <x:v>9</x:v>
      </x:c>
      <x:c r="F27" s="2" t="n">
        <x:f>COUNTIF('Все позиции'!$C$2:$C$139,C27)</x:f>
        <x:v>9</x:v>
      </x:c>
      <x:c r="G27" s="4" t="n">
        <x:v>817.19</x:v>
      </x:c>
      <x:c r="H27" s="4" t="n">
        <x:v>187.95</x:v>
      </x:c>
      <x:c r="I27" s="4" t="n">
        <x:v>1005.14</x:v>
      </x:c>
      <x:c r="J27" s="4" t="n">
        <x:f>SUMIFS('Все позиции'!$K$2:$K$139,'Все позиции'!$C$2:$C$139,C27)</x:f>
        <x:v>817.1899999999999</x:v>
      </x:c>
      <x:c r="K27" s="4" t="n">
        <x:f>SUMIFS('Все позиции'!$M$2:$M$139,'Все позиции'!$C$2:$C$139,C27)</x:f>
        <x:v>187.95</x:v>
      </x:c>
      <x:c r="L27" s="4" t="n">
        <x:f>SUMIFS('Все позиции'!$N$2:$N$139,'Все позиции'!$C$2:$C$139,C27)</x:f>
        <x:v>1005.1399999999999</x:v>
      </x:c>
      <x:c r="M27" s="4" t="n">
        <x:f>ROUND(J27-G27,2)</x:f>
        <x:v>0</x:v>
      </x:c>
      <x:c r="N27" s="4" t="n">
        <x:f>ROUND(K27-H27,2)</x:f>
        <x:v>0</x:v>
      </x:c>
      <x:c r="O27" s="4" t="n">
        <x:f>ROUND(L27-I27,2)</x:f>
        <x:v>0</x:v>
      </x:c>
      <x:c r="P27" t="str">
        <x:f>IF(AND(ABS(M27)&lt;0.005,ABS(N27)&lt;0.005,ABS(O27)&lt;0.005),"OK","ПРОВЕРИТЬ")</x:f>
        <x:v>OK</x:v>
      </x:c>
      <x:c r="Q27" t="str">
        <x:v>Sales confirmation for document 47064.pdf</x:v>
      </x:c>
    </x:row>
    <x:row r="28">
      <x:c r="A28" s="1" t="n">
        <x:v>46255</x:v>
      </x:c>
      <x:c r="B28" t="str">
        <x:v>F</x:v>
      </x:c>
      <x:c r="C28" t="str">
        <x:v>00047126/MAT/26/F</x:v>
      </x:c>
      <x:c r="D28" t="str"/>
      <x:c r="E28" s="2" t="n">
        <x:v>1</x:v>
      </x:c>
      <x:c r="F28" s="2" t="n">
        <x:f>COUNTIF('Все позиции'!$C$2:$C$139,C28)</x:f>
        <x:v>1</x:v>
      </x:c>
      <x:c r="G28" s="4" t="n">
        <x:v>44.17</x:v>
      </x:c>
      <x:c r="H28" s="4" t="n">
        <x:v>10.16</x:v>
      </x:c>
      <x:c r="I28" s="4" t="n">
        <x:v>54.33</x:v>
      </x:c>
      <x:c r="J28" s="4" t="n">
        <x:f>SUMIFS('Все позиции'!$K$2:$K$139,'Все позиции'!$C$2:$C$139,C28)</x:f>
        <x:v>44.17</x:v>
      </x:c>
      <x:c r="K28" s="4" t="n">
        <x:f>SUMIFS('Все позиции'!$M$2:$M$139,'Все позиции'!$C$2:$C$139,C28)</x:f>
        <x:v>10.16</x:v>
      </x:c>
      <x:c r="L28" s="4" t="n">
        <x:f>SUMIFS('Все позиции'!$N$2:$N$139,'Все позиции'!$C$2:$C$139,C28)</x:f>
        <x:v>54.33</x:v>
      </x:c>
      <x:c r="M28" s="4" t="n">
        <x:f>ROUND(J28-G28,2)</x:f>
        <x:v>0</x:v>
      </x:c>
      <x:c r="N28" s="4" t="n">
        <x:f>ROUND(K28-H28,2)</x:f>
        <x:v>0</x:v>
      </x:c>
      <x:c r="O28" s="4" t="n">
        <x:f>ROUND(L28-I28,2)</x:f>
        <x:v>0</x:v>
      </x:c>
      <x:c r="P28" t="str">
        <x:f>IF(AND(ABS(M28)&lt;0.005,ABS(N28)&lt;0.005,ABS(O28)&lt;0.005),"OK","ПРОВЕРИТЬ")</x:f>
        <x:v>OK</x:v>
      </x:c>
      <x:c r="Q28" t="str">
        <x:v>Sales confirmation for document 47126.pdf</x:v>
      </x:c>
    </x:row>
    <x:row r="29">
      <x:c r="A29" s="1" t="n">
        <x:v>46255</x:v>
      </x:c>
      <x:c r="B29" t="str">
        <x:v>FK</x:v>
      </x:c>
      <x:c r="C29" t="str">
        <x:v>00012659/MAT/26/FK</x:v>
      </x:c>
      <x:c r="D29" t="str">
        <x:v>00046432/MAT/26/F</x:v>
      </x:c>
      <x:c r="E29" s="2" t="n">
        <x:v>4</x:v>
      </x:c>
      <x:c r="F29" s="2" t="n">
        <x:f>COUNTIF('Все позиции'!$C$2:$C$139,C29)</x:f>
        <x:v>2</x:v>
      </x:c>
      <x:c r="G29" s="4" t="n">
        <x:v>-228.4</x:v>
      </x:c>
      <x:c r="H29" s="4" t="n">
        <x:v>-52.53</x:v>
      </x:c>
      <x:c r="I29" s="4" t="n">
        <x:v>-280.93</x:v>
      </x:c>
      <x:c r="J29" s="4" t="n">
        <x:f>SUMIFS('Все позиции'!$K$2:$K$139,'Все позиции'!$C$2:$C$139,C29)</x:f>
        <x:v>-228.4</x:v>
      </x:c>
      <x:c r="K29" s="4" t="n">
        <x:f>SUMIFS('Все позиции'!$M$2:$M$139,'Все позиции'!$C$2:$C$139,C29)</x:f>
        <x:v>-52.53</x:v>
      </x:c>
      <x:c r="L29" s="4" t="n">
        <x:f>SUMIFS('Все позиции'!$N$2:$N$139,'Все позиции'!$C$2:$C$139,C29)</x:f>
        <x:v>-280.93</x:v>
      </x:c>
      <x:c r="M29" s="4" t="n">
        <x:f>ROUND(J29-G29,2)</x:f>
        <x:v>0</x:v>
      </x:c>
      <x:c r="N29" s="4" t="n">
        <x:f>ROUND(K29-H29,2)</x:f>
        <x:v>0</x:v>
      </x:c>
      <x:c r="O29" s="4" t="n">
        <x:f>ROUND(L29-I29,2)</x:f>
        <x:v>0</x:v>
      </x:c>
      <x:c r="P29" t="str">
        <x:f>IF(AND(ABS(M29)&lt;0.005,ABS(N29)&lt;0.005,ABS(O29)&lt;0.005),"OK","ПРОВЕРИТЬ")</x:f>
        <x:v>OK</x:v>
      </x:c>
      <x:c r="Q29" t="str">
        <x:v>Sales confirmation for document 12659(1).pdf</x:v>
      </x:c>
    </x:row>
    <x:row r="30">
      <x:c r="A30" s="1" t="n">
        <x:v>46255</x:v>
      </x:c>
      <x:c r="B30" t="str">
        <x:v>FK</x:v>
      </x:c>
      <x:c r="C30" t="str">
        <x:v>00012660/MAT/26/FK</x:v>
      </x:c>
      <x:c r="D30" t="str">
        <x:v>00046501/MAT/26/F</x:v>
      </x:c>
      <x:c r="E30" s="2" t="n">
        <x:v>2</x:v>
      </x:c>
      <x:c r="F30" s="2" t="n">
        <x:f>COUNTIF('Все позиции'!$C$2:$C$139,C30)</x:f>
        <x:v>1</x:v>
      </x:c>
      <x:c r="G30" s="4" t="n">
        <x:v>-22.71</x:v>
      </x:c>
      <x:c r="H30" s="4" t="n">
        <x:v>-5.22</x:v>
      </x:c>
      <x:c r="I30" s="4" t="n">
        <x:v>-27.93</x:v>
      </x:c>
      <x:c r="J30" s="4" t="n">
        <x:f>SUMIFS('Все позиции'!$K$2:$K$139,'Все позиции'!$C$2:$C$139,C30)</x:f>
        <x:v>-22.71</x:v>
      </x:c>
      <x:c r="K30" s="4" t="n">
        <x:f>SUMIFS('Все позиции'!$M$2:$M$139,'Все позиции'!$C$2:$C$139,C30)</x:f>
        <x:v>-5.22</x:v>
      </x:c>
      <x:c r="L30" s="4" t="n">
        <x:f>SUMIFS('Все позиции'!$N$2:$N$139,'Все позиции'!$C$2:$C$139,C30)</x:f>
        <x:v>-27.93</x:v>
      </x:c>
      <x:c r="M30" s="4" t="n">
        <x:f>ROUND(J30-G30,2)</x:f>
        <x:v>0</x:v>
      </x:c>
      <x:c r="N30" s="4" t="n">
        <x:f>ROUND(K30-H30,2)</x:f>
        <x:v>0</x:v>
      </x:c>
      <x:c r="O30" s="4" t="n">
        <x:f>ROUND(L30-I30,2)</x:f>
        <x:v>0</x:v>
      </x:c>
      <x:c r="P30" t="str">
        <x:f>IF(AND(ABS(M30)&lt;0.005,ABS(N30)&lt;0.005,ABS(O30)&lt;0.005),"OK","ПРОВЕРИТЬ")</x:f>
        <x:v>OK</x:v>
      </x:c>
      <x:c r="Q30" t="str">
        <x:v>Sales confirmation for document 12660(1).pdf</x:v>
      </x:c>
    </x:row>
    <x:row r="31">
      <x:c r="A31" s="1" t="n">
        <x:v>46258</x:v>
      </x:c>
      <x:c r="B31" t="str">
        <x:v>F</x:v>
      </x:c>
      <x:c r="C31" t="str">
        <x:v>00047255/MAT/26/F</x:v>
      </x:c>
      <x:c r="D31" t="str"/>
      <x:c r="E31" s="2" t="n">
        <x:v>4</x:v>
      </x:c>
      <x:c r="F31" s="2" t="n">
        <x:f>COUNTIF('Все позиции'!$C$2:$C$139,C31)</x:f>
        <x:v>4</x:v>
      </x:c>
      <x:c r="G31" s="4" t="n">
        <x:v>331.95</x:v>
      </x:c>
      <x:c r="H31" s="4" t="n">
        <x:v>76.35</x:v>
      </x:c>
      <x:c r="I31" s="4" t="n">
        <x:v>408.3</x:v>
      </x:c>
      <x:c r="J31" s="4" t="n">
        <x:f>SUMIFS('Все позиции'!$K$2:$K$139,'Все позиции'!$C$2:$C$139,C31)</x:f>
        <x:v>331.95</x:v>
      </x:c>
      <x:c r="K31" s="4" t="n">
        <x:f>SUMIFS('Все позиции'!$M$2:$M$139,'Все позиции'!$C$2:$C$139,C31)</x:f>
        <x:v>76.35</x:v>
      </x:c>
      <x:c r="L31" s="4" t="n">
        <x:f>SUMIFS('Все позиции'!$N$2:$N$139,'Все позиции'!$C$2:$C$139,C31)</x:f>
        <x:v>408.3</x:v>
      </x:c>
      <x:c r="M31" s="4" t="n">
        <x:f>ROUND(J31-G31,2)</x:f>
        <x:v>0</x:v>
      </x:c>
      <x:c r="N31" s="4" t="n">
        <x:f>ROUND(K31-H31,2)</x:f>
        <x:v>0</x:v>
      </x:c>
      <x:c r="O31" s="4" t="n">
        <x:f>ROUND(L31-I31,2)</x:f>
        <x:v>0</x:v>
      </x:c>
      <x:c r="P31" t="str">
        <x:f>IF(AND(ABS(M31)&lt;0.005,ABS(N31)&lt;0.005,ABS(O31)&lt;0.005),"OK","ПРОВЕРИТЬ")</x:f>
        <x:v>OK</x:v>
      </x:c>
      <x:c r="Q31" t="str">
        <x:v>Sales confirmation for document 47255.pdf</x:v>
      </x:c>
    </x:row>
    <x:row r="32">
      <x:c r="A32" s="1" t="n">
        <x:v>46259</x:v>
      </x:c>
      <x:c r="B32" t="str">
        <x:v>F</x:v>
      </x:c>
      <x:c r="C32" t="str">
        <x:v>00047722/MAT/26/F</x:v>
      </x:c>
      <x:c r="D32" t="str"/>
      <x:c r="E32" s="2" t="n">
        <x:v>2</x:v>
      </x:c>
      <x:c r="F32" s="2" t="n">
        <x:f>COUNTIF('Все позиции'!$C$2:$C$139,C32)</x:f>
        <x:v>2</x:v>
      </x:c>
      <x:c r="G32" s="4" t="n">
        <x:v>7.15</x:v>
      </x:c>
      <x:c r="H32" s="4" t="n">
        <x:v>1.64</x:v>
      </x:c>
      <x:c r="I32" s="4" t="n">
        <x:v>8.79</x:v>
      </x:c>
      <x:c r="J32" s="4" t="n">
        <x:f>SUMIFS('Все позиции'!$K$2:$K$139,'Все позиции'!$C$2:$C$139,C32)</x:f>
        <x:v>7.15</x:v>
      </x:c>
      <x:c r="K32" s="4" t="n">
        <x:f>SUMIFS('Все позиции'!$M$2:$M$139,'Все позиции'!$C$2:$C$139,C32)</x:f>
        <x:v>1.64</x:v>
      </x:c>
      <x:c r="L32" s="4" t="n">
        <x:f>SUMIFS('Все позиции'!$N$2:$N$139,'Все позиции'!$C$2:$C$139,C32)</x:f>
        <x:v>8.79</x:v>
      </x:c>
      <x:c r="M32" s="4" t="n">
        <x:f>ROUND(J32-G32,2)</x:f>
        <x:v>0</x:v>
      </x:c>
      <x:c r="N32" s="4" t="n">
        <x:f>ROUND(K32-H32,2)</x:f>
        <x:v>0</x:v>
      </x:c>
      <x:c r="O32" s="4" t="n">
        <x:f>ROUND(L32-I32,2)</x:f>
        <x:v>0</x:v>
      </x:c>
      <x:c r="P32" t="str">
        <x:f>IF(AND(ABS(M32)&lt;0.005,ABS(N32)&lt;0.005,ABS(O32)&lt;0.005),"OK","ПРОВЕРИТЬ")</x:f>
        <x:v>OK</x:v>
      </x:c>
      <x:c r="Q32" t="str">
        <x:v>Sales confirmation for document 47722.pdf</x:v>
      </x:c>
    </x:row>
    <x:row r="33">
      <x:c r="A33" s="1" t="n">
        <x:v>46259</x:v>
      </x:c>
      <x:c r="B33" t="str">
        <x:v>F</x:v>
      </x:c>
      <x:c r="C33" t="str">
        <x:v>00047808/MAT/26/F</x:v>
      </x:c>
      <x:c r="D33" t="str"/>
      <x:c r="E33" s="2" t="n">
        <x:v>2</x:v>
      </x:c>
      <x:c r="F33" s="2" t="n">
        <x:f>COUNTIF('Все позиции'!$C$2:$C$139,C33)</x:f>
        <x:v>2</x:v>
      </x:c>
      <x:c r="G33" s="4" t="n">
        <x:v>4.84</x:v>
      </x:c>
      <x:c r="H33" s="4" t="n">
        <x:v>1.11</x:v>
      </x:c>
      <x:c r="I33" s="4" t="n">
        <x:v>5.95</x:v>
      </x:c>
      <x:c r="J33" s="4" t="n">
        <x:f>SUMIFS('Все позиции'!$K$2:$K$139,'Все позиции'!$C$2:$C$139,C33)</x:f>
        <x:v>4.84</x:v>
      </x:c>
      <x:c r="K33" s="4" t="n">
        <x:f>SUMIFS('Все позиции'!$M$2:$M$139,'Все позиции'!$C$2:$C$139,C33)</x:f>
        <x:v>1.11</x:v>
      </x:c>
      <x:c r="L33" s="4" t="n">
        <x:f>SUMIFS('Все позиции'!$N$2:$N$139,'Все позиции'!$C$2:$C$139,C33)</x:f>
        <x:v>5.949999999999999</x:v>
      </x:c>
      <x:c r="M33" s="4" t="n">
        <x:f>ROUND(J33-G33,2)</x:f>
        <x:v>0</x:v>
      </x:c>
      <x:c r="N33" s="4" t="n">
        <x:f>ROUND(K33-H33,2)</x:f>
        <x:v>0</x:v>
      </x:c>
      <x:c r="O33" s="4" t="n">
        <x:f>ROUND(L33-I33,2)</x:f>
        <x:v>0</x:v>
      </x:c>
      <x:c r="P33" t="str">
        <x:f>IF(AND(ABS(M33)&lt;0.005,ABS(N33)&lt;0.005,ABS(O33)&lt;0.005),"OK","ПРОВЕРИТЬ")</x:f>
        <x:v>OK</x:v>
      </x:c>
      <x:c r="Q33" t="str">
        <x:v>Sales confirmation for document 47808.pdf</x:v>
      </x:c>
    </x:row>
    <x:row r="34">
      <x:c r="A34" s="1" t="n">
        <x:v>46259</x:v>
      </x:c>
      <x:c r="B34" t="str">
        <x:v>FK</x:v>
      </x:c>
      <x:c r="C34" t="str">
        <x:v>00012862/MAT/26/FK</x:v>
      </x:c>
      <x:c r="D34" t="str">
        <x:v>00047064/MAT/26/F</x:v>
      </x:c>
      <x:c r="E34" s="2" t="n">
        <x:v>4</x:v>
      </x:c>
      <x:c r="F34" s="2" t="n">
        <x:f>COUNTIF('Все позиции'!$C$2:$C$139,C34)</x:f>
        <x:v>2</x:v>
      </x:c>
      <x:c r="G34" s="4" t="n">
        <x:v>-66.47</x:v>
      </x:c>
      <x:c r="H34" s="4" t="n">
        <x:v>-15.29</x:v>
      </x:c>
      <x:c r="I34" s="4" t="n">
        <x:v>-81.76</x:v>
      </x:c>
      <x:c r="J34" s="4" t="n">
        <x:f>SUMIFS('Все позиции'!$K$2:$K$139,'Все позиции'!$C$2:$C$139,C34)</x:f>
        <x:v>-66.47</x:v>
      </x:c>
      <x:c r="K34" s="4" t="n">
        <x:f>SUMIFS('Все позиции'!$M$2:$M$139,'Все позиции'!$C$2:$C$139,C34)</x:f>
        <x:v>-15.29</x:v>
      </x:c>
      <x:c r="L34" s="4" t="n">
        <x:f>SUMIFS('Все позиции'!$N$2:$N$139,'Все позиции'!$C$2:$C$139,C34)</x:f>
        <x:v>-81.76</x:v>
      </x:c>
      <x:c r="M34" s="4" t="n">
        <x:f>ROUND(J34-G34,2)</x:f>
        <x:v>0</x:v>
      </x:c>
      <x:c r="N34" s="4" t="n">
        <x:f>ROUND(K34-H34,2)</x:f>
        <x:v>0</x:v>
      </x:c>
      <x:c r="O34" s="4" t="n">
        <x:f>ROUND(L34-I34,2)</x:f>
        <x:v>0</x:v>
      </x:c>
      <x:c r="P34" t="str">
        <x:f>IF(AND(ABS(M34)&lt;0.005,ABS(N34)&lt;0.005,ABS(O34)&lt;0.005),"OK","ПРОВЕРИТЬ")</x:f>
        <x:v>OK</x:v>
      </x:c>
      <x:c r="Q34" t="str">
        <x:v>Sales confirmation for document 12862(1).pdf</x:v>
      </x:c>
    </x:row>
    <x:row r="35">
      <x:c r="A35" s="1" t="n">
        <x:v>46259</x:v>
      </x:c>
      <x:c r="B35" t="str">
        <x:v>FK</x:v>
      </x:c>
      <x:c r="C35" t="str">
        <x:v>00012863/MAT/26/FK</x:v>
      </x:c>
      <x:c r="D35" t="str">
        <x:v>00046931/MAT/26/F</x:v>
      </x:c>
      <x:c r="E35" s="2" t="n">
        <x:v>2</x:v>
      </x:c>
      <x:c r="F35" s="2" t="n">
        <x:f>COUNTIF('Все позиции'!$C$2:$C$139,C35)</x:f>
        <x:v>1</x:v>
      </x:c>
      <x:c r="G35" s="4" t="n">
        <x:v>-47.7</x:v>
      </x:c>
      <x:c r="H35" s="4" t="n">
        <x:v>-10.97</x:v>
      </x:c>
      <x:c r="I35" s="4" t="n">
        <x:v>-58.67</x:v>
      </x:c>
      <x:c r="J35" s="4" t="n">
        <x:f>SUMIFS('Все позиции'!$K$2:$K$139,'Все позиции'!$C$2:$C$139,C35)</x:f>
        <x:v>-47.7</x:v>
      </x:c>
      <x:c r="K35" s="4" t="n">
        <x:f>SUMIFS('Все позиции'!$M$2:$M$139,'Все позиции'!$C$2:$C$139,C35)</x:f>
        <x:v>-10.97</x:v>
      </x:c>
      <x:c r="L35" s="4" t="n">
        <x:f>SUMIFS('Все позиции'!$N$2:$N$139,'Все позиции'!$C$2:$C$139,C35)</x:f>
        <x:v>-58.67</x:v>
      </x:c>
      <x:c r="M35" s="4" t="n">
        <x:f>ROUND(J35-G35,2)</x:f>
        <x:v>0</x:v>
      </x:c>
      <x:c r="N35" s="4" t="n">
        <x:f>ROUND(K35-H35,2)</x:f>
        <x:v>0</x:v>
      </x:c>
      <x:c r="O35" s="4" t="n">
        <x:f>ROUND(L35-I35,2)</x:f>
        <x:v>0</x:v>
      </x:c>
      <x:c r="P35" t="str">
        <x:f>IF(AND(ABS(M35)&lt;0.005,ABS(N35)&lt;0.005,ABS(O35)&lt;0.005),"OK","ПРОВЕРИТЬ")</x:f>
        <x:v>OK</x:v>
      </x:c>
      <x:c r="Q35" t="str">
        <x:v>Sales confirmation for document 12863(1).pdf</x:v>
      </x:c>
    </x:row>
    <x:row r="36">
      <x:c r="A36" s="1" t="n">
        <x:v>46260</x:v>
      </x:c>
      <x:c r="B36" t="str">
        <x:v>F</x:v>
      </x:c>
      <x:c r="C36" t="str">
        <x:v>00047949/MAT/26/F</x:v>
      </x:c>
      <x:c r="D36" t="str"/>
      <x:c r="E36" s="2" t="n">
        <x:v>3</x:v>
      </x:c>
      <x:c r="F36" s="2" t="n">
        <x:f>COUNTIF('Все позиции'!$C$2:$C$139,C36)</x:f>
        <x:v>3</x:v>
      </x:c>
      <x:c r="G36" s="4" t="n">
        <x:v>213.63</x:v>
      </x:c>
      <x:c r="H36" s="4" t="n">
        <x:v>49.13</x:v>
      </x:c>
      <x:c r="I36" s="4" t="n">
        <x:v>262.76</x:v>
      </x:c>
      <x:c r="J36" s="4" t="n">
        <x:f>SUMIFS('Все позиции'!$K$2:$K$139,'Все позиции'!$C$2:$C$139,C36)</x:f>
        <x:v>213.63</x:v>
      </x:c>
      <x:c r="K36" s="4" t="n">
        <x:f>SUMIFS('Все позиции'!$M$2:$M$139,'Все позиции'!$C$2:$C$139,C36)</x:f>
        <x:v>49.129999999999995</x:v>
      </x:c>
      <x:c r="L36" s="4" t="n">
        <x:f>SUMIFS('Все позиции'!$N$2:$N$139,'Все позиции'!$C$2:$C$139,C36)</x:f>
        <x:v>262.76</x:v>
      </x:c>
      <x:c r="M36" s="4" t="n">
        <x:f>ROUND(J36-G36,2)</x:f>
        <x:v>0</x:v>
      </x:c>
      <x:c r="N36" s="4" t="n">
        <x:f>ROUND(K36-H36,2)</x:f>
        <x:v>0</x:v>
      </x:c>
      <x:c r="O36" s="4" t="n">
        <x:f>ROUND(L36-I36,2)</x:f>
        <x:v>0</x:v>
      </x:c>
      <x:c r="P36" t="str">
        <x:f>IF(AND(ABS(M36)&lt;0.005,ABS(N36)&lt;0.005,ABS(O36)&lt;0.005),"OK","ПРОВЕРИТЬ")</x:f>
        <x:v>OK</x:v>
      </x:c>
      <x:c r="Q36" t="str">
        <x:v>Sales confirmation for document 47949.pdf</x:v>
      </x:c>
    </x:row>
    <x:row r="37">
      <x:c r="A37" s="1" t="n">
        <x:v>46260</x:v>
      </x:c>
      <x:c r="B37" t="str">
        <x:v>F</x:v>
      </x:c>
      <x:c r="C37" t="str">
        <x:v>00047993/MAT/26/F</x:v>
      </x:c>
      <x:c r="D37" t="str"/>
      <x:c r="E37" s="2" t="n">
        <x:v>2</x:v>
      </x:c>
      <x:c r="F37" s="2" t="n">
        <x:f>COUNTIF('Все позиции'!$C$2:$C$139,C37)</x:f>
        <x:v>2</x:v>
      </x:c>
      <x:c r="G37" s="4" t="n">
        <x:v>721.19</x:v>
      </x:c>
      <x:c r="H37" s="4" t="n">
        <x:v>165.87</x:v>
      </x:c>
      <x:c r="I37" s="4" t="n">
        <x:v>887.06</x:v>
      </x:c>
      <x:c r="J37" s="4" t="n">
        <x:f>SUMIFS('Все позиции'!$K$2:$K$139,'Все позиции'!$C$2:$C$139,C37)</x:f>
        <x:v>721.19</x:v>
      </x:c>
      <x:c r="K37" s="4" t="n">
        <x:f>SUMIFS('Все позиции'!$M$2:$M$139,'Все позиции'!$C$2:$C$139,C37)</x:f>
        <x:v>165.87</x:v>
      </x:c>
      <x:c r="L37" s="4" t="n">
        <x:f>SUMIFS('Все позиции'!$N$2:$N$139,'Все позиции'!$C$2:$C$139,C37)</x:f>
        <x:v>887.0600000000001</x:v>
      </x:c>
      <x:c r="M37" s="4" t="n">
        <x:f>ROUND(J37-G37,2)</x:f>
        <x:v>0</x:v>
      </x:c>
      <x:c r="N37" s="4" t="n">
        <x:f>ROUND(K37-H37,2)</x:f>
        <x:v>0</x:v>
      </x:c>
      <x:c r="O37" s="4" t="n">
        <x:f>ROUND(L37-I37,2)</x:f>
        <x:v>0</x:v>
      </x:c>
      <x:c r="P37" t="str">
        <x:f>IF(AND(ABS(M37)&lt;0.005,ABS(N37)&lt;0.005,ABS(O37)&lt;0.005),"OK","ПРОВЕРИТЬ")</x:f>
        <x:v>OK</x:v>
      </x:c>
      <x:c r="Q37" t="str">
        <x:v>Sales confirmation for document 47993.pdf</x:v>
      </x:c>
    </x:row>
    <x:row r="38">
      <x:c r="A38" s="1" t="n">
        <x:v>46260</x:v>
      </x:c>
      <x:c r="B38" t="str">
        <x:v>F</x:v>
      </x:c>
      <x:c r="C38" t="str">
        <x:v>00048035/MAT/26/F</x:v>
      </x:c>
      <x:c r="D38" t="str"/>
      <x:c r="E38" s="2" t="n">
        <x:v>1</x:v>
      </x:c>
      <x:c r="F38" s="2" t="n">
        <x:f>COUNTIF('Все позиции'!$C$2:$C$139,C38)</x:f>
        <x:v>1</x:v>
      </x:c>
      <x:c r="G38" s="4" t="n">
        <x:v>19</x:v>
      </x:c>
      <x:c r="H38" s="4" t="n">
        <x:v>4.37</x:v>
      </x:c>
      <x:c r="I38" s="4" t="n">
        <x:v>23.37</x:v>
      </x:c>
      <x:c r="J38" s="4" t="n">
        <x:f>SUMIFS('Все позиции'!$K$2:$K$139,'Все позиции'!$C$2:$C$139,C38)</x:f>
        <x:v>19</x:v>
      </x:c>
      <x:c r="K38" s="4" t="n">
        <x:f>SUMIFS('Все позиции'!$M$2:$M$139,'Все позиции'!$C$2:$C$139,C38)</x:f>
        <x:v>4.37</x:v>
      </x:c>
      <x:c r="L38" s="4" t="n">
        <x:f>SUMIFS('Все позиции'!$N$2:$N$139,'Все позиции'!$C$2:$C$139,C38)</x:f>
        <x:v>23.37</x:v>
      </x:c>
      <x:c r="M38" s="4" t="n">
        <x:f>ROUND(J38-G38,2)</x:f>
        <x:v>0</x:v>
      </x:c>
      <x:c r="N38" s="4" t="n">
        <x:f>ROUND(K38-H38,2)</x:f>
        <x:v>0</x:v>
      </x:c>
      <x:c r="O38" s="4" t="n">
        <x:f>ROUND(L38-I38,2)</x:f>
        <x:v>0</x:v>
      </x:c>
      <x:c r="P38" t="str">
        <x:f>IF(AND(ABS(M38)&lt;0.005,ABS(N38)&lt;0.005,ABS(O38)&lt;0.005),"OK","ПРОВЕРИТЬ")</x:f>
        <x:v>OK</x:v>
      </x:c>
      <x:c r="Q38" t="str">
        <x:v>Sales confirmation for document 48035.pdf</x:v>
      </x:c>
    </x:row>
    <x:row r="39">
      <x:c r="A39" s="1" t="n">
        <x:v>46260</x:v>
      </x:c>
      <x:c r="B39" t="str">
        <x:v>FK</x:v>
      </x:c>
      <x:c r="C39" t="str">
        <x:v>00012967/MAT/26/FK</x:v>
      </x:c>
      <x:c r="D39" t="str">
        <x:v>00047949/MAT/26/F</x:v>
      </x:c>
      <x:c r="E39" s="2" t="n">
        <x:v>2</x:v>
      </x:c>
      <x:c r="F39" s="2" t="n">
        <x:f>COUNTIF('Все позиции'!$C$2:$C$139,C39)</x:f>
        <x:v>1</x:v>
      </x:c>
      <x:c r="G39" s="4" t="n">
        <x:v>-0.8</x:v>
      </x:c>
      <x:c r="H39" s="4" t="n">
        <x:v>-0.18</x:v>
      </x:c>
      <x:c r="I39" s="4" t="n">
        <x:v>-0.98</x:v>
      </x:c>
      <x:c r="J39" s="4" t="n">
        <x:f>SUMIFS('Все позиции'!$K$2:$K$139,'Все позиции'!$C$2:$C$139,C39)</x:f>
        <x:v>-0.8</x:v>
      </x:c>
      <x:c r="K39" s="4" t="n">
        <x:f>SUMIFS('Все позиции'!$M$2:$M$139,'Все позиции'!$C$2:$C$139,C39)</x:f>
        <x:v>-0.18</x:v>
      </x:c>
      <x:c r="L39" s="4" t="n">
        <x:f>SUMIFS('Все позиции'!$N$2:$N$139,'Все позиции'!$C$2:$C$139,C39)</x:f>
        <x:v>-0.98</x:v>
      </x:c>
      <x:c r="M39" s="4" t="n">
        <x:f>ROUND(J39-G39,2)</x:f>
        <x:v>0</x:v>
      </x:c>
      <x:c r="N39" s="4" t="n">
        <x:f>ROUND(K39-H39,2)</x:f>
        <x:v>0</x:v>
      </x:c>
      <x:c r="O39" s="4" t="n">
        <x:f>ROUND(L39-I39,2)</x:f>
        <x:v>0</x:v>
      </x:c>
      <x:c r="P39" t="str">
        <x:f>IF(AND(ABS(M39)&lt;0.005,ABS(N39)&lt;0.005,ABS(O39)&lt;0.005),"OK","ПРОВЕРИТЬ")</x:f>
        <x:v>OK</x:v>
      </x:c>
      <x:c r="Q39" t="str">
        <x:v>Sales confirmation for document 12967(1).pdf</x:v>
      </x:c>
    </x:row>
    <x:row r="40">
      <x:c r="A40" s="1" t="n">
        <x:v>46261</x:v>
      </x:c>
      <x:c r="B40" t="str">
        <x:v>F</x:v>
      </x:c>
      <x:c r="C40" t="str">
        <x:v>00048093/MAT/26/F</x:v>
      </x:c>
      <x:c r="D40" t="str"/>
      <x:c r="E40" s="2" t="n">
        <x:v>6</x:v>
      </x:c>
      <x:c r="F40" s="2" t="n">
        <x:f>COUNTIF('Все позиции'!$C$2:$C$139,C40)</x:f>
        <x:v>6</x:v>
      </x:c>
      <x:c r="G40" s="4" t="n">
        <x:v>222.82</x:v>
      </x:c>
      <x:c r="H40" s="4" t="n">
        <x:v>51.25</x:v>
      </x:c>
      <x:c r="I40" s="4" t="n">
        <x:v>274.07</x:v>
      </x:c>
      <x:c r="J40" s="4" t="n">
        <x:f>SUMIFS('Все позиции'!$K$2:$K$139,'Все позиции'!$C$2:$C$139,C40)</x:f>
        <x:v>222.82</x:v>
      </x:c>
      <x:c r="K40" s="4" t="n">
        <x:f>SUMIFS('Все позиции'!$M$2:$M$139,'Все позиции'!$C$2:$C$139,C40)</x:f>
        <x:v>51.25</x:v>
      </x:c>
      <x:c r="L40" s="4" t="n">
        <x:f>SUMIFS('Все позиции'!$N$2:$N$139,'Все позиции'!$C$2:$C$139,C40)</x:f>
        <x:v>274.07</x:v>
      </x:c>
      <x:c r="M40" s="4" t="n">
        <x:f>ROUND(J40-G40,2)</x:f>
        <x:v>0</x:v>
      </x:c>
      <x:c r="N40" s="4" t="n">
        <x:f>ROUND(K40-H40,2)</x:f>
        <x:v>0</x:v>
      </x:c>
      <x:c r="O40" s="4" t="n">
        <x:f>ROUND(L40-I40,2)</x:f>
        <x:v>0</x:v>
      </x:c>
      <x:c r="P40" t="str">
        <x:f>IF(AND(ABS(M40)&lt;0.005,ABS(N40)&lt;0.005,ABS(O40)&lt;0.005),"OK","ПРОВЕРИТЬ")</x:f>
        <x:v>OK</x:v>
      </x:c>
      <x:c r="Q40" t="str">
        <x:v>Sales confirmation for document 48093.pdf</x:v>
      </x:c>
    </x:row>
    <x:row r="41">
      <x:c r="A41" s="1" t="n">
        <x:v>46261</x:v>
      </x:c>
      <x:c r="B41" t="str">
        <x:v>F</x:v>
      </x:c>
      <x:c r="C41" t="str">
        <x:v>00048265/MAT/26/F</x:v>
      </x:c>
      <x:c r="D41" t="str"/>
      <x:c r="E41" s="2" t="n">
        <x:v>1</x:v>
      </x:c>
      <x:c r="F41" s="2" t="n">
        <x:f>COUNTIF('Все позиции'!$C$2:$C$139,C41)</x:f>
        <x:v>1</x:v>
      </x:c>
      <x:c r="G41" s="4" t="n">
        <x:v>494.38</x:v>
      </x:c>
      <x:c r="H41" s="4" t="n">
        <x:v>113.71</x:v>
      </x:c>
      <x:c r="I41" s="4" t="n">
        <x:v>608.09</x:v>
      </x:c>
      <x:c r="J41" s="4" t="n">
        <x:f>SUMIFS('Все позиции'!$K$2:$K$139,'Все позиции'!$C$2:$C$139,C41)</x:f>
        <x:v>494.38</x:v>
      </x:c>
      <x:c r="K41" s="4" t="n">
        <x:f>SUMIFS('Все позиции'!$M$2:$M$139,'Все позиции'!$C$2:$C$139,C41)</x:f>
        <x:v>113.71</x:v>
      </x:c>
      <x:c r="L41" s="4" t="n">
        <x:f>SUMIFS('Все позиции'!$N$2:$N$139,'Все позиции'!$C$2:$C$139,C41)</x:f>
        <x:v>608.09</x:v>
      </x:c>
      <x:c r="M41" s="4" t="n">
        <x:f>ROUND(J41-G41,2)</x:f>
        <x:v>0</x:v>
      </x:c>
      <x:c r="N41" s="4" t="n">
        <x:f>ROUND(K41-H41,2)</x:f>
        <x:v>0</x:v>
      </x:c>
      <x:c r="O41" s="4" t="n">
        <x:f>ROUND(L41-I41,2)</x:f>
        <x:v>0</x:v>
      </x:c>
      <x:c r="P41" t="str">
        <x:f>IF(AND(ABS(M41)&lt;0.005,ABS(N41)&lt;0.005,ABS(O41)&lt;0.005),"OK","ПРОВЕРИТЬ")</x:f>
        <x:v>OK</x:v>
      </x:c>
      <x:c r="Q41" t="str">
        <x:v>Sales confirmation for document 48265.pdf</x:v>
      </x:c>
    </x:row>
    <x:row r="42">
      <x:c r="A42" s="1" t="n">
        <x:v>46265</x:v>
      </x:c>
      <x:c r="B42" t="str">
        <x:v>F</x:v>
      </x:c>
      <x:c r="C42" t="str">
        <x:v>00048778/MAT/26/F</x:v>
      </x:c>
      <x:c r="D42" t="str"/>
      <x:c r="E42" s="2" t="n">
        <x:v>4</x:v>
      </x:c>
      <x:c r="F42" s="2" t="n">
        <x:f>COUNTIF('Все позиции'!$C$2:$C$139,C42)</x:f>
        <x:v>4</x:v>
      </x:c>
      <x:c r="G42" s="4" t="n">
        <x:v>286.97</x:v>
      </x:c>
      <x:c r="H42" s="4" t="n">
        <x:v>66</x:v>
      </x:c>
      <x:c r="I42" s="4" t="n">
        <x:v>352.97</x:v>
      </x:c>
      <x:c r="J42" s="4" t="n">
        <x:f>SUMIFS('Все позиции'!$K$2:$K$139,'Все позиции'!$C$2:$C$139,C42)</x:f>
        <x:v>286.97</x:v>
      </x:c>
      <x:c r="K42" s="4" t="n">
        <x:f>SUMIFS('Все позиции'!$M$2:$M$139,'Все позиции'!$C$2:$C$139,C42)</x:f>
        <x:v>66</x:v>
      </x:c>
      <x:c r="L42" s="4" t="n">
        <x:f>SUMIFS('Все позиции'!$N$2:$N$139,'Все позиции'!$C$2:$C$139,C42)</x:f>
        <x:v>352.97</x:v>
      </x:c>
      <x:c r="M42" s="4" t="n">
        <x:f>ROUND(J42-G42,2)</x:f>
        <x:v>0</x:v>
      </x:c>
      <x:c r="N42" s="4" t="n">
        <x:f>ROUND(K42-H42,2)</x:f>
        <x:v>0</x:v>
      </x:c>
      <x:c r="O42" s="4" t="n">
        <x:f>ROUND(L42-I42,2)</x:f>
        <x:v>0</x:v>
      </x:c>
      <x:c r="P42" t="str">
        <x:f>IF(AND(ABS(M42)&lt;0.005,ABS(N42)&lt;0.005,ABS(O42)&lt;0.005),"OK","ПРОВЕРИТЬ")</x:f>
        <x:v>OK</x:v>
      </x:c>
      <x:c r="Q42" t="str">
        <x:v>Sales confirmation for document 48778.pdf</x:v>
      </x:c>
    </x:row>
    <x:row r="43">
      <x:c r="A43" s="1" t="n">
        <x:v>46265</x:v>
      </x:c>
      <x:c r="B43" t="str">
        <x:v>F</x:v>
      </x:c>
      <x:c r="C43" t="str">
        <x:v>00048836/MAT/26/F</x:v>
      </x:c>
      <x:c r="D43" t="str"/>
      <x:c r="E43" s="2" t="n">
        <x:v>2</x:v>
      </x:c>
      <x:c r="F43" s="2" t="n">
        <x:f>COUNTIF('Все позиции'!$C$2:$C$139,C43)</x:f>
        <x:v>2</x:v>
      </x:c>
      <x:c r="G43" s="4" t="n">
        <x:v>71.91</x:v>
      </x:c>
      <x:c r="H43" s="4" t="n">
        <x:v>16.54</x:v>
      </x:c>
      <x:c r="I43" s="4" t="n">
        <x:v>88.45</x:v>
      </x:c>
      <x:c r="J43" s="4" t="n">
        <x:f>SUMIFS('Все позиции'!$K$2:$K$139,'Все позиции'!$C$2:$C$139,C43)</x:f>
        <x:v>71.91</x:v>
      </x:c>
      <x:c r="K43" s="4" t="n">
        <x:f>SUMIFS('Все позиции'!$M$2:$M$139,'Все позиции'!$C$2:$C$139,C43)</x:f>
        <x:v>16.54</x:v>
      </x:c>
      <x:c r="L43" s="4" t="n">
        <x:f>SUMIFS('Все позиции'!$N$2:$N$139,'Все позиции'!$C$2:$C$139,C43)</x:f>
        <x:v>88.45000000000002</x:v>
      </x:c>
      <x:c r="M43" s="4" t="n">
        <x:f>ROUND(J43-G43,2)</x:f>
        <x:v>0</x:v>
      </x:c>
      <x:c r="N43" s="4" t="n">
        <x:f>ROUND(K43-H43,2)</x:f>
        <x:v>0</x:v>
      </x:c>
      <x:c r="O43" s="4" t="n">
        <x:f>ROUND(L43-I43,2)</x:f>
        <x:v>0</x:v>
      </x:c>
      <x:c r="P43" t="str">
        <x:f>IF(AND(ABS(M43)&lt;0.005,ABS(N43)&lt;0.005,ABS(O43)&lt;0.005),"OK","ПРОВЕРИТЬ")</x:f>
        <x:v>OK</x:v>
      </x:c>
      <x:c r="Q43" t="str">
        <x:v>Sales confirmation for document 48836.pdf</x:v>
      </x:c>
    </x:row>
  </x:sheetData>
  <x:conditionalFormatting sqref="P2:P43">
    <x:cfRule type="containsText" dxfId="3" priority="1" operator="containsText" text="ПРОВЕРИТЬ"/>
    <x:cfRule type="containsText" dxfId="4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5bad4baac2ae48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46" hidden="0" customWidth="1"/>
    <x:col min="4" max="4" width="28" hidden="0" customWidth="1"/>
  </x:cols>
  <x:sheetData>
    <x:row r="1" ht="38" customHeight="1">
      <x:c r="A1" s="22" t="str">
        <x:v>№ документа</x:v>
      </x:c>
      <x:c r="B1" s="22" t="str">
        <x:v>Повторный файл (не учтён)</x:v>
      </x:c>
      <x:c r="C1" s="22" t="str">
        <x:v>Файл, учтённый в расчёте</x:v>
      </x:c>
      <x:c r="D1" s="22" t="str">
        <x:v>Решение</x:v>
      </x:c>
    </x:row>
    <x:row r="2">
      <x:c r="A2" t="str">
        <x:v>00011830/MAT/26/FK</x:v>
      </x:c>
      <x:c r="B2" t="str">
        <x:v>Sales confirmation for document 11830(2).pdf</x:v>
      </x:c>
      <x:c r="C2" t="str">
        <x:v>Sales confirmation for document 11830(1).pdf</x:v>
      </x:c>
      <x:c r="D2" s="24" t="str">
        <x:v>Исключён как точная копия</x:v>
      </x:c>
    </x:row>
    <x:row r="3">
      <x:c r="A3" t="str">
        <x:v>00011845/MAT/26/FK</x:v>
      </x:c>
      <x:c r="B3" t="str">
        <x:v>Sales confirmation for document 11845(2).pdf</x:v>
      </x:c>
      <x:c r="C3" t="str">
        <x:v>Sales confirmation for document 11845(1).pdf</x:v>
      </x:c>
      <x:c r="D3" s="24" t="str">
        <x:v>Исключён как точная копия</x:v>
      </x:c>
    </x:row>
    <x:row r="4">
      <x:c r="A4" t="str">
        <x:v>00011944/MAT/26/FK</x:v>
      </x:c>
      <x:c r="B4" t="str">
        <x:v>Sales confirmation for document 11944(2).pdf</x:v>
      </x:c>
      <x:c r="C4" t="str">
        <x:v>Sales confirmation for document 11944(1).pdf</x:v>
      </x:c>
      <x:c r="D4" s="24" t="str">
        <x:v>Исключён как точная копия</x:v>
      </x:c>
    </x:row>
    <x:row r="5">
      <x:c r="A5" t="str">
        <x:v>00011980/MAT/26/FK</x:v>
      </x:c>
      <x:c r="B5" t="str">
        <x:v>Sales confirmation for document 11980(2).pdf</x:v>
      </x:c>
      <x:c r="C5" t="str">
        <x:v>Sales confirmation for document 11980(1).pdf</x:v>
      </x:c>
      <x:c r="D5" s="24" t="str">
        <x:v>Исключён как точная копия</x:v>
      </x:c>
    </x:row>
    <x:row r="6">
      <x:c r="A6" t="str">
        <x:v>00012578/MAT/26/FK</x:v>
      </x:c>
      <x:c r="B6" t="str">
        <x:v>Sales confirmation for document 12578(2).pdf</x:v>
      </x:c>
      <x:c r="C6" t="str">
        <x:v>Sales confirmation for document 12578(1).pdf</x:v>
      </x:c>
      <x:c r="D6" s="24" t="str">
        <x:v>Исключён как точная копия</x:v>
      </x:c>
    </x:row>
    <x:row r="7">
      <x:c r="A7" t="str">
        <x:v>00012659/MAT/26/FK</x:v>
      </x:c>
      <x:c r="B7" t="str">
        <x:v>Sales confirmation for document 12659(2).pdf</x:v>
      </x:c>
      <x:c r="C7" t="str">
        <x:v>Sales confirmation for document 12659(1).pdf</x:v>
      </x:c>
      <x:c r="D7" s="24" t="str">
        <x:v>Исключён как точная копия</x:v>
      </x:c>
    </x:row>
    <x:row r="8">
      <x:c r="A8" t="str">
        <x:v>00012660/MAT/26/FK</x:v>
      </x:c>
      <x:c r="B8" t="str">
        <x:v>Sales confirmation for document 12660(2).pdf</x:v>
      </x:c>
      <x:c r="C8" t="str">
        <x:v>Sales confirmation for document 12660(1).pdf</x:v>
      </x:c>
      <x:c r="D8" s="24" t="str">
        <x:v>Исключён как точная копия</x:v>
      </x:c>
    </x:row>
    <x:row r="9">
      <x:c r="A9" t="str">
        <x:v>00012862/MAT/26/FK</x:v>
      </x:c>
      <x:c r="B9" t="str">
        <x:v>Sales confirmation for document 12862(2).pdf</x:v>
      </x:c>
      <x:c r="C9" t="str">
        <x:v>Sales confirmation for document 12862(1).pdf</x:v>
      </x:c>
      <x:c r="D9" s="24" t="str">
        <x:v>Исключён как точная копия</x:v>
      </x:c>
    </x:row>
    <x:row r="10">
      <x:c r="A10" t="str">
        <x:v>00012863/MAT/26/FK</x:v>
      </x:c>
      <x:c r="B10" t="str">
        <x:v>Sales confirmation for document 12863(2).pdf</x:v>
      </x:c>
      <x:c r="C10" t="str">
        <x:v>Sales confirmation for document 12863(1).pdf</x:v>
      </x:c>
      <x:c r="D10" s="24" t="str">
        <x:v>Исключён как точная копия</x:v>
      </x:c>
    </x:row>
    <x:row r="11">
      <x:c r="A11" t="str">
        <x:v>00012967/MAT/26/FK</x:v>
      </x:c>
      <x:c r="B11" t="str">
        <x:v>Sales confirmation for document 12967(2).pdf</x:v>
      </x:c>
      <x:c r="C11" t="str">
        <x:v>Sales confirmation for document 12967(1).pdf</x:v>
      </x:c>
      <x:c r="D11" s="24" t="str">
        <x:v>Исключён как точная копия</x:v>
      </x:c>
    </x:row>
  </x:sheetData>
  <x:pageMargins left="0.7" right="0.7" top="0.75" bottom="0.75" header="0.3" footer="0.3"/>
  <x:tableParts count="1">
    <x:tablePart xmlns:r="http://schemas.openxmlformats.org/officeDocument/2006/relationships" r:id="Rb5065bf0a0b84058"/>
  </x:tableParts>
</x:worksheet>
</file>